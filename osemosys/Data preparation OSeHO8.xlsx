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E5DF0D5C-F599-46F5-929B-55AA92B5C6F5}" xr6:coauthVersionLast="47" xr6:coauthVersionMax="47" xr10:uidLastSave="{00000000-0000-0000-0000-000000000000}"/>
  <bookViews>
    <workbookView xWindow="-110" yWindow="-110" windowWidth="19420" windowHeight="10420" firstSheet="2" activeTab="8" xr2:uid="{0A0C2DC8-FAFE-4F1E-95D0-1C2265D8A064}"/>
  </bookViews>
  <sheets>
    <sheet name="Content" sheetId="7" r:id="rId1"/>
    <sheet name="CapitalCost" sheetId="3" r:id="rId2"/>
    <sheet name="FixedCost" sheetId="4" r:id="rId3"/>
    <sheet name="CapacitytoActivityUnit" sheetId="6" r:id="rId4"/>
    <sheet name="OperationalLife" sheetId="10" r:id="rId5"/>
    <sheet name="InputActivityRatio" sheetId="8" r:id="rId6"/>
    <sheet name="OutputActivityRatio" sheetId="9" r:id="rId7"/>
    <sheet name="DaySplit" sheetId="11" r:id="rId8"/>
    <sheet name="TechToStorage" sheetId="12" r:id="rId9"/>
    <sheet name="TechFromStorage" sheetId="13" r:id="rId10"/>
    <sheet name="CapitalCostStorage" sheetId="14" r:id="rId11"/>
    <sheet name="OpeLifeStorage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" l="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C3" i="11"/>
  <c r="C2" i="11"/>
</calcChain>
</file>

<file path=xl/sharedStrings.xml><?xml version="1.0" encoding="utf-8"?>
<sst xmlns="http://schemas.openxmlformats.org/spreadsheetml/2006/main" count="93" uniqueCount="29">
  <si>
    <t>Commodity</t>
  </si>
  <si>
    <t>Unit</t>
  </si>
  <si>
    <t>Scenario</t>
  </si>
  <si>
    <t>SC_0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</si>
  <si>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</si>
  <si>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</si>
  <si>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</si>
  <si>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</si>
  <si>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</si>
  <si>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</si>
  <si>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</si>
  <si>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Fixed Cost</t>
  </si>
  <si>
    <t>Capacity to Activity Unit</t>
  </si>
  <si>
    <t>Input Activity Ratio</t>
  </si>
  <si>
    <t>Output Activity Ratio</t>
  </si>
  <si>
    <t>Operational Life</t>
  </si>
  <si>
    <t>BATTPWR</t>
  </si>
  <si>
    <t>ELC003</t>
  </si>
  <si>
    <t>Data for power technology</t>
  </si>
  <si>
    <t>Data for storage technology</t>
  </si>
  <si>
    <t>Technology to Storage</t>
  </si>
  <si>
    <t>Technology from Storage</t>
  </si>
  <si>
    <t>Capital Cost Storage</t>
  </si>
  <si>
    <t>Operational Life Storage</t>
  </si>
  <si>
    <t>Day Split</t>
  </si>
  <si>
    <t>Dailytimebracket</t>
  </si>
  <si>
    <t>Storage</t>
  </si>
  <si>
    <t>BATTSTO</t>
  </si>
  <si>
    <t>10^6USD/PJ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</si>
</sst>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1" fillId="3" borderId="0" xfId="0" applyFont="1" applyFill="1" applyAlignment="1">
      <alignment horizontal="left"/>
    </xf>
    <xf numFmtId="0" fontId="0" fillId="4" borderId="1" xfId="0" applyFill="1" applyBorder="1"/>
    <xf numFmtId="0" fontId="1" fillId="3" borderId="0" xfId="0" applyFont="1" applyFill="1"/>
    <xf numFmtId="164" fontId="0" fillId="0" borderId="0" xfId="0" applyNumberFormat="1"/>
    <xf numFmtId="0" fontId="0" fillId="0" borderId="1" xfId="0" applyBorder="1" applyAlignment="1">
      <alignment horizontal="left"/>
    </xf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8"/>
  <sheetViews>
    <sheetView topLeftCell="A4" zoomScale="120" zoomScaleNormal="120" workbookViewId="0">
      <selection activeCell="B17" sqref="B17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10" t="s">
        <v>9</v>
      </c>
      <c r="C3" s="10"/>
      <c r="D3" s="10"/>
      <c r="E3" s="10"/>
      <c r="F3" s="10"/>
      <c r="G3" s="10"/>
      <c r="H3" s="10"/>
      <c r="I3" s="10"/>
    </row>
    <row r="4" spans="2:9" x14ac:dyDescent="0.35">
      <c r="B4" s="5"/>
      <c r="C4" s="5"/>
      <c r="D4" s="5"/>
      <c r="E4" s="5"/>
      <c r="F4" s="5"/>
      <c r="G4" s="5"/>
      <c r="H4" s="5"/>
      <c r="I4" s="5"/>
    </row>
    <row r="5" spans="2:9" x14ac:dyDescent="0.35">
      <c r="B5" s="7" t="s">
        <v>18</v>
      </c>
    </row>
    <row r="6" spans="2:9" x14ac:dyDescent="0.35">
      <c r="B6" s="4" t="s">
        <v>10</v>
      </c>
    </row>
    <row r="7" spans="2:9" x14ac:dyDescent="0.35">
      <c r="B7" s="4" t="s">
        <v>11</v>
      </c>
    </row>
    <row r="8" spans="2:9" x14ac:dyDescent="0.35">
      <c r="B8" s="4" t="s">
        <v>12</v>
      </c>
    </row>
    <row r="9" spans="2:9" x14ac:dyDescent="0.35">
      <c r="B9" s="4" t="s">
        <v>15</v>
      </c>
    </row>
    <row r="10" spans="2:9" x14ac:dyDescent="0.35">
      <c r="B10" s="4" t="s">
        <v>13</v>
      </c>
    </row>
    <row r="11" spans="2:9" x14ac:dyDescent="0.35">
      <c r="B11" s="4" t="s">
        <v>14</v>
      </c>
    </row>
    <row r="13" spans="2:9" x14ac:dyDescent="0.35">
      <c r="B13" s="7" t="s">
        <v>19</v>
      </c>
    </row>
    <row r="14" spans="2:9" x14ac:dyDescent="0.35">
      <c r="B14" s="4" t="s">
        <v>24</v>
      </c>
    </row>
    <row r="15" spans="2:9" x14ac:dyDescent="0.35">
      <c r="B15" s="4" t="s">
        <v>20</v>
      </c>
    </row>
    <row r="16" spans="2:9" x14ac:dyDescent="0.35">
      <c r="B16" s="4" t="s">
        <v>21</v>
      </c>
    </row>
    <row r="17" spans="2:2" x14ac:dyDescent="0.35">
      <c r="B17" s="4" t="s">
        <v>22</v>
      </c>
    </row>
    <row r="18" spans="2:2" x14ac:dyDescent="0.35">
      <c r="B18" s="4" t="s">
        <v>23</v>
      </c>
    </row>
  </sheetData>
  <mergeCells count="1">
    <mergeCell ref="B3:I3"/>
  </mergeCells>
  <hyperlinks>
    <hyperlink ref="B6" location="CapitalCost!A1" display="Capital Cost" xr:uid="{29859294-CD60-4BF2-B31F-EAC9E8F47528}"/>
    <hyperlink ref="B7" location="FixedCost!A1" display="Fixed Cost" xr:uid="{8AC7D976-3C09-4AAA-BD91-26108FABC98A}"/>
    <hyperlink ref="B8" location="CapacitytoActivityUnit!A1" display="Capacity to Activity Unit" xr:uid="{AC72D3A5-4DC7-438C-9DC9-16D91FA6448D}"/>
    <hyperlink ref="B10" location="InputActivityRatio!A1" display="Input Activity Ratio" xr:uid="{3BEE3610-38B9-47BC-8936-E2D8DE701D00}"/>
    <hyperlink ref="B11" location="OutputActivityRatio!A1" display="Output Activity Ratio" xr:uid="{B071FF5B-F7D2-4D8E-86B3-FBA9B774274C}"/>
    <hyperlink ref="B9" location="OperationalLife!A1" display="Operational Life" xr:uid="{974A6BCD-961B-4E18-A2DF-756B8F253D1E}"/>
    <hyperlink ref="B14" location="DaySplit!A1" display="Day Split" xr:uid="{084F4AE3-F61B-4054-A386-95A5B7002FF1}"/>
    <hyperlink ref="B15" location="TechToStorage!A1" display="Technology to Storage" xr:uid="{BFDEA9BA-AFE0-40C4-A22D-5EFF426095E2}"/>
    <hyperlink ref="B16" location="TechFromStorage!A1" display="Technology from Storage" xr:uid="{4A59A9BA-B1EA-456E-9D5B-B57FF9EF0E91}"/>
    <hyperlink ref="B17" location="CapitalCostStorage!A1" display="Capital Cost Storage" xr:uid="{F165C240-FCCD-4F7A-82F9-9E6905B392C0}"/>
    <hyperlink ref="B18" location="OpeLifeStorage!A1" display="Operational Life Storage" xr:uid="{71CA3826-3FC1-41CD-B806-A06F56C5CDF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9"/>
  <sheetViews>
    <sheetView workbookViewId="0">
      <selection activeCell="D2" sqref="D2:R2"/>
    </sheetView>
  </sheetViews>
  <sheetFormatPr defaultRowHeight="14.5" x14ac:dyDescent="0.35"/>
  <cols>
    <col min="2" max="2" width="10.54296875" bestFit="1" customWidth="1"/>
    <col min="3" max="3" width="11.90625" bestFit="1" customWidth="1"/>
    <col min="9" max="9" width="10.363281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16</v>
      </c>
      <c r="C2" s="2" t="s">
        <v>4</v>
      </c>
      <c r="D2" s="2">
        <v>250</v>
      </c>
      <c r="E2" s="2">
        <v>248</v>
      </c>
      <c r="F2" s="2">
        <v>246</v>
      </c>
      <c r="G2" s="2">
        <v>244</v>
      </c>
      <c r="H2" s="2">
        <v>242</v>
      </c>
      <c r="I2" s="2">
        <v>240</v>
      </c>
      <c r="J2" s="2">
        <v>238</v>
      </c>
      <c r="K2" s="2">
        <v>236</v>
      </c>
      <c r="L2" s="2">
        <v>234</v>
      </c>
      <c r="M2" s="2">
        <v>232</v>
      </c>
      <c r="N2" s="2">
        <v>230</v>
      </c>
      <c r="O2" s="2">
        <v>228</v>
      </c>
      <c r="P2" s="2">
        <v>226</v>
      </c>
      <c r="Q2" s="2">
        <v>224</v>
      </c>
      <c r="R2" s="2">
        <v>222</v>
      </c>
    </row>
    <row r="9" spans="1:18" x14ac:dyDescent="0.35">
      <c r="I9" s="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2"/>
  <sheetViews>
    <sheetView workbookViewId="0">
      <selection activeCell="D2" sqref="D2:R2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16</v>
      </c>
      <c r="C2" s="2" t="s">
        <v>4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2"/>
  <sheetViews>
    <sheetView workbookViewId="0">
      <selection activeCell="C3" sqref="C3"/>
    </sheetView>
  </sheetViews>
  <sheetFormatPr defaultRowHeight="14.5" x14ac:dyDescent="0.35"/>
  <cols>
    <col min="2" max="2" width="10.2695312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16</v>
      </c>
      <c r="C2" s="2">
        <v>31.536000000000001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2"/>
  <sheetViews>
    <sheetView workbookViewId="0">
      <selection sqref="A1:C2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16</v>
      </c>
      <c r="C2" s="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2"/>
  <sheetViews>
    <sheetView workbookViewId="0">
      <selection activeCell="E11" sqref="E11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16</v>
      </c>
      <c r="C2" s="2" t="s">
        <v>17</v>
      </c>
      <c r="D2" s="6">
        <v>1</v>
      </c>
      <c r="E2" s="2" t="s">
        <v>8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2"/>
  <sheetViews>
    <sheetView workbookViewId="0">
      <selection activeCell="H14" sqref="H14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16</v>
      </c>
      <c r="C2" s="2" t="s">
        <v>17</v>
      </c>
      <c r="D2" s="6">
        <v>2</v>
      </c>
      <c r="E2" s="2" t="s">
        <v>8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2288-62C5-4E99-8A5F-FFCE44C1D09A}">
  <dimension ref="A1:Q3"/>
  <sheetViews>
    <sheetView workbookViewId="0">
      <selection activeCell="C3" sqref="C3"/>
    </sheetView>
  </sheetViews>
  <sheetFormatPr defaultRowHeight="14.5" x14ac:dyDescent="0.35"/>
  <sheetData>
    <row r="1" spans="1:17" x14ac:dyDescent="0.35">
      <c r="A1" s="1" t="s">
        <v>2</v>
      </c>
      <c r="B1" s="1" t="s">
        <v>25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</row>
    <row r="2" spans="1:17" x14ac:dyDescent="0.35">
      <c r="A2" s="2" t="s">
        <v>3</v>
      </c>
      <c r="B2" s="9">
        <v>1</v>
      </c>
      <c r="C2" s="2">
        <f>12/8760</f>
        <v>1.3698630136986301E-3</v>
      </c>
      <c r="D2" s="2">
        <f t="shared" ref="D2:Q3" si="0">12/8760</f>
        <v>1.3698630136986301E-3</v>
      </c>
      <c r="E2" s="2">
        <f t="shared" si="0"/>
        <v>1.3698630136986301E-3</v>
      </c>
      <c r="F2" s="2">
        <f t="shared" si="0"/>
        <v>1.3698630136986301E-3</v>
      </c>
      <c r="G2" s="2">
        <f t="shared" si="0"/>
        <v>1.3698630136986301E-3</v>
      </c>
      <c r="H2" s="2">
        <f t="shared" si="0"/>
        <v>1.3698630136986301E-3</v>
      </c>
      <c r="I2" s="2">
        <f t="shared" si="0"/>
        <v>1.3698630136986301E-3</v>
      </c>
      <c r="J2" s="2">
        <f t="shared" si="0"/>
        <v>1.3698630136986301E-3</v>
      </c>
      <c r="K2" s="2">
        <f t="shared" si="0"/>
        <v>1.3698630136986301E-3</v>
      </c>
      <c r="L2" s="2">
        <f t="shared" si="0"/>
        <v>1.3698630136986301E-3</v>
      </c>
      <c r="M2" s="2">
        <f t="shared" si="0"/>
        <v>1.3698630136986301E-3</v>
      </c>
      <c r="N2" s="2">
        <f t="shared" si="0"/>
        <v>1.3698630136986301E-3</v>
      </c>
      <c r="O2" s="2">
        <f t="shared" si="0"/>
        <v>1.3698630136986301E-3</v>
      </c>
      <c r="P2" s="2">
        <f t="shared" si="0"/>
        <v>1.3698630136986301E-3</v>
      </c>
      <c r="Q2" s="2">
        <f t="shared" si="0"/>
        <v>1.3698630136986301E-3</v>
      </c>
    </row>
    <row r="3" spans="1:17" x14ac:dyDescent="0.35">
      <c r="A3" s="2" t="s">
        <v>3</v>
      </c>
      <c r="B3" s="9">
        <v>2</v>
      </c>
      <c r="C3" s="2">
        <f>12/8760</f>
        <v>1.3698630136986301E-3</v>
      </c>
      <c r="D3" s="2">
        <f t="shared" si="0"/>
        <v>1.3698630136986301E-3</v>
      </c>
      <c r="E3" s="2">
        <f t="shared" si="0"/>
        <v>1.3698630136986301E-3</v>
      </c>
      <c r="F3" s="2">
        <f t="shared" si="0"/>
        <v>1.3698630136986301E-3</v>
      </c>
      <c r="G3" s="2">
        <f t="shared" si="0"/>
        <v>1.3698630136986301E-3</v>
      </c>
      <c r="H3" s="2">
        <f t="shared" si="0"/>
        <v>1.3698630136986301E-3</v>
      </c>
      <c r="I3" s="2">
        <f t="shared" si="0"/>
        <v>1.3698630136986301E-3</v>
      </c>
      <c r="J3" s="2">
        <f t="shared" si="0"/>
        <v>1.3698630136986301E-3</v>
      </c>
      <c r="K3" s="2">
        <f t="shared" si="0"/>
        <v>1.3698630136986301E-3</v>
      </c>
      <c r="L3" s="2">
        <f t="shared" si="0"/>
        <v>1.3698630136986301E-3</v>
      </c>
      <c r="M3" s="2">
        <f t="shared" si="0"/>
        <v>1.3698630136986301E-3</v>
      </c>
      <c r="N3" s="2">
        <f t="shared" si="0"/>
        <v>1.3698630136986301E-3</v>
      </c>
      <c r="O3" s="2">
        <f t="shared" si="0"/>
        <v>1.3698630136986301E-3</v>
      </c>
      <c r="P3" s="2">
        <f t="shared" si="0"/>
        <v>1.3698630136986301E-3</v>
      </c>
      <c r="Q3" s="2">
        <f t="shared" si="0"/>
        <v>1.3698630136986301E-3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016B-6073-4F0D-B00A-2E5DF61B82B2}">
  <dimension ref="A1:F3"/>
  <sheetViews>
    <sheetView tabSelected="1" workbookViewId="0"/>
  </sheetViews>
  <sheetFormatPr defaultRowHeight="14.5" x14ac:dyDescent="0.35"/>
  <cols>
    <col min="2" max="2" width="10.26953125" bestFit="1" customWidth="1"/>
    <col min="3" max="3" width="10.54296875" bestFit="1" customWidth="1"/>
    <col min="4" max="4" width="16.08984375" bestFit="1" customWidth="1"/>
  </cols>
  <sheetData>
    <row r="1" spans="1:6" x14ac:dyDescent="0.35">
      <c r="A1" s="1" t="s">
        <v>2</v>
      </c>
      <c r="B1" s="1" t="s">
        <v>5</v>
      </c>
      <c r="C1" s="1" t="s">
        <v>26</v>
      </c>
      <c r="D1" s="1" t="s">
        <v>6</v>
      </c>
      <c r="E1" s="1" t="s">
        <v>1</v>
      </c>
      <c r="F1" s="1" t="s">
        <v>7</v>
      </c>
    </row>
    <row r="2" spans="1:6" x14ac:dyDescent="0.35">
      <c r="A2" s="2" t="s">
        <v>3</v>
      </c>
      <c r="B2" s="2" t="s">
        <v>16</v>
      </c>
      <c r="C2" s="2" t="s">
        <v>27</v>
      </c>
      <c r="D2" s="2">
        <v>1</v>
      </c>
      <c r="E2" s="2"/>
      <c r="F2" s="2">
        <v>1</v>
      </c>
    </row>
    <row r="3" spans="1:6" x14ac:dyDescent="0.35">
      <c r="A3" s="2" t="s">
        <v>3</v>
      </c>
      <c r="B3" s="2" t="s">
        <v>16</v>
      </c>
      <c r="C3" s="2" t="s">
        <v>27</v>
      </c>
      <c r="D3" s="2">
        <v>2</v>
      </c>
      <c r="E3" s="2"/>
      <c r="F3" s="2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7576-BF18-4E06-BA02-32F92EC4CBDC}">
  <dimension ref="A1:F3"/>
  <sheetViews>
    <sheetView workbookViewId="0">
      <selection activeCell="F4" sqref="F4"/>
    </sheetView>
  </sheetViews>
  <sheetFormatPr defaultRowHeight="14.5" x14ac:dyDescent="0.35"/>
  <cols>
    <col min="2" max="2" width="10.26953125" bestFit="1" customWidth="1"/>
    <col min="3" max="3" width="8.08984375" bestFit="1" customWidth="1"/>
    <col min="4" max="4" width="16.08984375" bestFit="1" customWidth="1"/>
  </cols>
  <sheetData>
    <row r="1" spans="1:6" x14ac:dyDescent="0.35">
      <c r="A1" s="1" t="s">
        <v>2</v>
      </c>
      <c r="B1" s="1" t="s">
        <v>5</v>
      </c>
      <c r="C1" s="1" t="s">
        <v>26</v>
      </c>
      <c r="D1" s="1" t="s">
        <v>6</v>
      </c>
      <c r="E1" s="1" t="s">
        <v>1</v>
      </c>
      <c r="F1" s="1" t="s">
        <v>7</v>
      </c>
    </row>
    <row r="2" spans="1:6" x14ac:dyDescent="0.35">
      <c r="A2" s="2" t="s">
        <v>3</v>
      </c>
      <c r="B2" s="2" t="s">
        <v>16</v>
      </c>
      <c r="C2" s="2" t="s">
        <v>27</v>
      </c>
      <c r="D2" s="2">
        <v>1</v>
      </c>
      <c r="E2" s="2"/>
      <c r="F2" s="2">
        <v>0</v>
      </c>
    </row>
    <row r="3" spans="1:6" x14ac:dyDescent="0.35">
      <c r="A3" s="2" t="s">
        <v>3</v>
      </c>
      <c r="B3" s="2" t="s">
        <v>16</v>
      </c>
      <c r="C3" s="2" t="s">
        <v>27</v>
      </c>
      <c r="D3" s="2">
        <v>2</v>
      </c>
      <c r="E3" s="2"/>
      <c r="F3" s="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489D-C1C6-4425-9CF7-08D466DED608}">
  <dimension ref="A1:R2"/>
  <sheetViews>
    <sheetView workbookViewId="0">
      <selection activeCell="B3" sqref="B3"/>
    </sheetView>
  </sheetViews>
  <sheetFormatPr defaultRowHeight="14.5" x14ac:dyDescent="0.35"/>
  <cols>
    <col min="2" max="2" width="10.26953125" bestFit="1" customWidth="1"/>
    <col min="3" max="3" width="11.906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27</v>
      </c>
      <c r="C2" s="2" t="s">
        <v>28</v>
      </c>
      <c r="D2" s="2">
        <v>80000</v>
      </c>
      <c r="E2" s="2">
        <v>77500</v>
      </c>
      <c r="F2" s="2">
        <v>75000</v>
      </c>
      <c r="G2" s="2">
        <v>72500</v>
      </c>
      <c r="H2" s="2">
        <v>70000</v>
      </c>
      <c r="I2" s="2">
        <v>67500</v>
      </c>
      <c r="J2" s="2">
        <v>65000</v>
      </c>
      <c r="K2" s="2">
        <v>62500</v>
      </c>
      <c r="L2" s="2">
        <v>60000</v>
      </c>
      <c r="M2" s="2">
        <v>57500</v>
      </c>
      <c r="N2" s="2">
        <v>55000</v>
      </c>
      <c r="O2" s="2">
        <v>52500</v>
      </c>
      <c r="P2" s="2">
        <v>50000</v>
      </c>
      <c r="Q2" s="2">
        <v>47500</v>
      </c>
      <c r="R2" s="2">
        <v>45000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D549-D31E-44C6-A717-96B708B67934}">
  <dimension ref="A1:C2"/>
  <sheetViews>
    <sheetView workbookViewId="0">
      <selection activeCell="B3" sqref="B3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26</v>
      </c>
      <c r="C1" s="1" t="s">
        <v>7</v>
      </c>
    </row>
    <row r="2" spans="1:3" x14ac:dyDescent="0.35">
      <c r="A2" s="2" t="s">
        <v>3</v>
      </c>
      <c r="B2" s="2" t="s">
        <v>27</v>
      </c>
      <c r="C2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</vt:lpstr>
      <vt:lpstr>CapitalCost</vt:lpstr>
      <vt:lpstr>FixedCost</vt:lpstr>
      <vt:lpstr>CapacitytoActivityUnit</vt:lpstr>
      <vt:lpstr>OperationalLife</vt:lpstr>
      <vt:lpstr>InputActivityRatio</vt:lpstr>
      <vt:lpstr>OutputActivityRatio</vt:lpstr>
      <vt:lpstr>DaySplit</vt:lpstr>
      <vt:lpstr>TechToStorage</vt:lpstr>
      <vt:lpstr>TechFromStorage</vt:lpstr>
      <vt:lpstr>CapitalCostStorage</vt:lpstr>
      <vt:lpstr>OpeLifeStorage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2025-01-25T02:49:56Z</dcterms:modified>
</cp:coreProperties>
</file>