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na\OneDrive\Documentos\Contrato_IEA-CCG\New OU courses\New course\Hands-ons\"/>
    </mc:Choice>
  </mc:AlternateContent>
  <xr:revisionPtr revIDLastSave="0" documentId="13_ncr:1_{279A9809-C033-4895-B3A5-E446A549D0E5}" xr6:coauthVersionLast="47" xr6:coauthVersionMax="47" xr10:uidLastSave="{00000000-0000-0000-0000-000000000000}"/>
  <bookViews>
    <workbookView xWindow="-110" yWindow="-110" windowWidth="19420" windowHeight="10420" activeTab="3" xr2:uid="{0A0C2DC8-FAFE-4F1E-95D0-1C2265D8A064}"/>
  </bookViews>
  <sheets>
    <sheet name="Content" sheetId="7" r:id="rId1"/>
    <sheet name="BAU Scenario" sheetId="3" r:id="rId2"/>
    <sheet name="RT Scenario" sheetId="4" r:id="rId3"/>
    <sheet name="EL Scenario" sheetId="1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4" l="1"/>
  <c r="O4" i="4"/>
  <c r="P4" i="4"/>
  <c r="Q4" i="4"/>
  <c r="R4" i="4"/>
  <c r="M4" i="4"/>
  <c r="F19" i="3" l="1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E19" i="3"/>
  <c r="O9" i="3"/>
  <c r="P9" i="3"/>
  <c r="Q9" i="3"/>
  <c r="R9" i="3"/>
  <c r="N9" i="3"/>
  <c r="K9" i="3"/>
  <c r="O8" i="3"/>
  <c r="P8" i="3"/>
  <c r="Q8" i="3"/>
  <c r="R8" i="3"/>
  <c r="N8" i="3"/>
  <c r="H8" i="3"/>
  <c r="Q7" i="3"/>
  <c r="R7" i="3"/>
  <c r="N6" i="3"/>
  <c r="H7" i="3"/>
  <c r="I7" i="3"/>
  <c r="J7" i="3"/>
  <c r="K7" i="3"/>
  <c r="B18" i="3"/>
  <c r="L9" i="3" s="1"/>
  <c r="B17" i="3"/>
  <c r="L8" i="3" s="1"/>
  <c r="B16" i="3"/>
  <c r="N7" i="3" s="1"/>
  <c r="B15" i="3"/>
  <c r="H6" i="3" s="1"/>
  <c r="B14" i="3"/>
  <c r="K5" i="3" s="1"/>
  <c r="B13" i="3"/>
  <c r="O4" i="3" s="1"/>
  <c r="P7" i="3" l="1"/>
  <c r="J9" i="3"/>
  <c r="G5" i="3"/>
  <c r="O7" i="3"/>
  <c r="I9" i="3"/>
  <c r="N4" i="3"/>
  <c r="M5" i="3"/>
  <c r="K8" i="3"/>
  <c r="H9" i="3"/>
  <c r="L5" i="3"/>
  <c r="J8" i="3"/>
  <c r="I4" i="3"/>
  <c r="G4" i="3"/>
  <c r="L7" i="3"/>
  <c r="I8" i="3"/>
  <c r="H4" i="3"/>
  <c r="R5" i="3"/>
  <c r="M6" i="3"/>
  <c r="Q5" i="3"/>
  <c r="Q6" i="3"/>
  <c r="K6" i="3"/>
  <c r="O5" i="3"/>
  <c r="J6" i="3"/>
  <c r="O6" i="3"/>
  <c r="M4" i="3"/>
  <c r="R4" i="3"/>
  <c r="L6" i="3"/>
  <c r="P5" i="3"/>
  <c r="G6" i="3"/>
  <c r="I6" i="3"/>
  <c r="G8" i="3"/>
  <c r="G9" i="3"/>
  <c r="L4" i="3"/>
  <c r="Q4" i="3"/>
  <c r="R6" i="3"/>
  <c r="J5" i="3"/>
  <c r="I5" i="3"/>
  <c r="P6" i="3"/>
  <c r="H5" i="3"/>
  <c r="G7" i="3"/>
  <c r="M8" i="3"/>
  <c r="M9" i="3"/>
  <c r="K4" i="3"/>
  <c r="P4" i="3"/>
  <c r="N5" i="3"/>
  <c r="M7" i="3"/>
  <c r="J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tc={5F82E366-404E-441F-9BF7-791EDBFF682B}</author>
  </authors>
  <commentList>
    <comment ref="D19" authorId="0" shapeId="0" xr:uid="{5F82E366-404E-441F-9BF7-791EDBFF682B}">
      <text>
        <t>[Threaded comment]
Your version of Excel allows you to read this threaded comment; however, any edits to it will get removed if the file is opened in a newer version of Excel. Learn more: https://go.microsoft.com/fwlink/?linkid=870924
Comment:
    We account for losses in distribution and transmission</t>
      </text>
    </comment>
  </commentList>
</comments>
</file>

<file path=xl/sharedStrings.xml><?xml version="1.0" encoding="utf-8"?>
<sst xmlns="http://schemas.openxmlformats.org/spreadsheetml/2006/main" count="72" uniqueCount="42">
  <si>
    <t>Unit</t>
  </si>
  <si>
    <t>Scenario</t>
  </si>
  <si>
    <t>Technology</t>
  </si>
  <si>
    <t>This Data preparation file contains</t>
  </si>
  <si>
    <t>10^9passenger-kms</t>
  </si>
  <si>
    <t>DEMTRACARGSL</t>
  </si>
  <si>
    <t>PWRDSL</t>
  </si>
  <si>
    <t>PWRNGS</t>
  </si>
  <si>
    <t>DEMRESCKNLPG</t>
  </si>
  <si>
    <t>DEMRESCKNBIO</t>
  </si>
  <si>
    <t>DEMINDLHELPG</t>
  </si>
  <si>
    <t>PJ</t>
  </si>
  <si>
    <t>PWRHYD</t>
  </si>
  <si>
    <t>PWRBIO</t>
  </si>
  <si>
    <t>PWRSOL</t>
  </si>
  <si>
    <t>PWRWND</t>
  </si>
  <si>
    <t>BAU</t>
  </si>
  <si>
    <t>RESCKN</t>
  </si>
  <si>
    <t>INDLHE</t>
  </si>
  <si>
    <t>TRACAR</t>
  </si>
  <si>
    <t>Accumulated Annual Demand</t>
  </si>
  <si>
    <t>Shares 2023</t>
  </si>
  <si>
    <t>Specified Annual Demand</t>
  </si>
  <si>
    <t xml:space="preserve">ELC003 </t>
  </si>
  <si>
    <t>ELC001</t>
  </si>
  <si>
    <t>Parameter</t>
  </si>
  <si>
    <t>Total Technology Annual Activity Lower Limit</t>
  </si>
  <si>
    <t>Constraint</t>
  </si>
  <si>
    <t>PWRTRN</t>
  </si>
  <si>
    <t>RT</t>
  </si>
  <si>
    <t xml:space="preserve">Renewable target </t>
  </si>
  <si>
    <t>Input activity ratio - PWRTRN</t>
  </si>
  <si>
    <t>EL</t>
  </si>
  <si>
    <t>Emission</t>
  </si>
  <si>
    <t>CO2</t>
  </si>
  <si>
    <t>kTon</t>
  </si>
  <si>
    <t>BAU scenario data</t>
  </si>
  <si>
    <t>RT scenario data</t>
  </si>
  <si>
    <t>EL scenario</t>
  </si>
  <si>
    <t>UDC Activity Multiplier</t>
  </si>
  <si>
    <t>Annual Emission Limit</t>
  </si>
  <si>
    <t>RTC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</si>
</sst>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3" borderId="0" xfId="0" applyFill="1"/>
    <xf numFmtId="0" fontId="3" fillId="3" borderId="0" xfId="1" applyFill="1"/>
    <xf numFmtId="2" fontId="0" fillId="0" borderId="1" xfId="0" applyNumberFormat="1" applyBorder="1"/>
    <xf numFmtId="0" fontId="1" fillId="4" borderId="1" xfId="0" applyFont="1" applyFill="1" applyBorder="1"/>
    <xf numFmtId="0" fontId="1" fillId="5" borderId="1" xfId="0" applyFont="1" applyFill="1" applyBorder="1" applyAlignment="1">
      <alignment wrapText="1"/>
    </xf>
    <xf numFmtId="0" fontId="1" fillId="5" borderId="1" xfId="0" applyFont="1" applyFill="1" applyBorder="1"/>
    <xf numFmtId="0" fontId="1" fillId="6" borderId="1" xfId="0" applyFont="1" applyFill="1" applyBorder="1" applyAlignment="1">
      <alignment wrapText="1"/>
    </xf>
    <xf numFmtId="0" fontId="1" fillId="6" borderId="1" xfId="0" applyFont="1" applyFill="1" applyBorder="1"/>
    <xf numFmtId="0" fontId="1" fillId="3" borderId="0" xfId="0" applyFont="1" applyFill="1" applyAlignment="1">
      <alignment horizontal="left"/>
    </xf>
    <xf numFmtId="0" fontId="0" fillId="4" borderId="1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uisa marcela moreno hinestroza" id="{68556B9E-0E84-4CE0-B468-28D4FE2B9A03}" userId="d5980d502e3303b9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9" dT="2025-01-16T02:03:55.80" personId="{68556B9E-0E84-4CE0-B468-28D4FE2B9A03}" id="{5F82E366-404E-441F-9BF7-791EDBFF682B}">
    <text>We account for losses in distribution and transmission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BB41-FFE4-468F-957E-442D0BA50EA0}">
  <dimension ref="B3:I7"/>
  <sheetViews>
    <sheetView topLeftCell="A2" zoomScale="130" zoomScaleNormal="130" workbookViewId="0">
      <selection activeCell="B11" sqref="B11"/>
    </sheetView>
  </sheetViews>
  <sheetFormatPr defaultRowHeight="14.5" x14ac:dyDescent="0.35"/>
  <cols>
    <col min="1" max="1" width="8.7265625" style="3"/>
    <col min="2" max="2" width="49.36328125" style="3" customWidth="1"/>
    <col min="3" max="16384" width="8.7265625" style="3"/>
  </cols>
  <sheetData>
    <row r="3" spans="2:9" x14ac:dyDescent="0.35">
      <c r="B3" s="11" t="s">
        <v>3</v>
      </c>
      <c r="C3" s="11"/>
      <c r="D3" s="11"/>
      <c r="E3" s="11"/>
      <c r="F3" s="11"/>
      <c r="G3" s="11"/>
      <c r="H3" s="11"/>
      <c r="I3" s="11"/>
    </row>
    <row r="5" spans="2:9" x14ac:dyDescent="0.35">
      <c r="B5" s="4" t="s">
        <v>36</v>
      </c>
    </row>
    <row r="6" spans="2:9" x14ac:dyDescent="0.35">
      <c r="B6" s="4" t="s">
        <v>37</v>
      </c>
    </row>
    <row r="7" spans="2:9" x14ac:dyDescent="0.35">
      <c r="B7" s="4" t="s">
        <v>38</v>
      </c>
    </row>
  </sheetData>
  <mergeCells count="1">
    <mergeCell ref="B3:I3"/>
  </mergeCells>
  <hyperlinks>
    <hyperlink ref="B5" location="'BAU Scenario'!A1" display="BAU scenario data" xr:uid="{269445DF-FA3C-4ABE-8550-01C629339565}"/>
    <hyperlink ref="B6" location="'RT Scenario'!A1" display="RT scenario data" xr:uid="{89EA1891-97A0-4208-96C5-6A82DD49A9E8}"/>
    <hyperlink ref="B7" location="'EL Scenario'!A1" display="EL scenario" xr:uid="{5F5467A0-D209-4ED3-B845-3BE05CF68DE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9B82D-9B6A-4592-A72B-9AC9DD62A205}">
  <dimension ref="A1:S19"/>
  <sheetViews>
    <sheetView topLeftCell="D7" workbookViewId="0">
      <selection activeCell="E14" sqref="E14:S14"/>
    </sheetView>
  </sheetViews>
  <sheetFormatPr defaultRowHeight="14.5" x14ac:dyDescent="0.35"/>
  <cols>
    <col min="1" max="2" width="14.54296875" bestFit="1" customWidth="1"/>
    <col min="3" max="3" width="25.7265625" bestFit="1" customWidth="1"/>
    <col min="4" max="4" width="13.26953125" customWidth="1"/>
    <col min="7" max="7" width="13.81640625" customWidth="1"/>
  </cols>
  <sheetData>
    <row r="1" spans="1:19" x14ac:dyDescent="0.35">
      <c r="A1" s="6" t="s">
        <v>25</v>
      </c>
      <c r="B1" s="12" t="s">
        <v>26</v>
      </c>
      <c r="C1" s="12"/>
    </row>
    <row r="3" spans="1:19" x14ac:dyDescent="0.35">
      <c r="A3" s="1" t="s">
        <v>1</v>
      </c>
      <c r="B3" s="1" t="s">
        <v>2</v>
      </c>
      <c r="C3" s="1" t="s">
        <v>0</v>
      </c>
      <c r="D3" s="1">
        <v>2021</v>
      </c>
      <c r="E3" s="1">
        <v>2022</v>
      </c>
      <c r="F3" s="1">
        <v>2023</v>
      </c>
      <c r="G3" s="1">
        <v>2024</v>
      </c>
      <c r="H3" s="1">
        <v>2025</v>
      </c>
      <c r="I3" s="1">
        <v>2026</v>
      </c>
      <c r="J3" s="1">
        <v>2027</v>
      </c>
      <c r="K3" s="1">
        <v>2028</v>
      </c>
      <c r="L3" s="1">
        <v>2029</v>
      </c>
      <c r="M3" s="1">
        <v>2030</v>
      </c>
      <c r="N3" s="1">
        <v>2031</v>
      </c>
      <c r="O3" s="1">
        <v>2032</v>
      </c>
      <c r="P3" s="1">
        <v>2033</v>
      </c>
      <c r="Q3" s="1">
        <v>2034</v>
      </c>
      <c r="R3" s="1">
        <v>2035</v>
      </c>
    </row>
    <row r="4" spans="1:19" x14ac:dyDescent="0.35">
      <c r="A4" s="2" t="s">
        <v>16</v>
      </c>
      <c r="B4" s="2" t="s">
        <v>6</v>
      </c>
      <c r="C4" s="2" t="s">
        <v>11</v>
      </c>
      <c r="D4" s="2">
        <v>19.52</v>
      </c>
      <c r="E4" s="2">
        <v>24.61</v>
      </c>
      <c r="F4" s="2">
        <v>30.28</v>
      </c>
      <c r="G4" s="2">
        <f t="shared" ref="G4:M4" si="0">ROUND($B$13*H19,2)</f>
        <v>35.32</v>
      </c>
      <c r="H4" s="2">
        <f t="shared" si="0"/>
        <v>40.369999999999997</v>
      </c>
      <c r="I4" s="2">
        <f t="shared" si="0"/>
        <v>45.41</v>
      </c>
      <c r="J4" s="2">
        <f t="shared" si="0"/>
        <v>50.46</v>
      </c>
      <c r="K4" s="2">
        <f t="shared" si="0"/>
        <v>55.51</v>
      </c>
      <c r="L4" s="2">
        <f t="shared" si="0"/>
        <v>60.55</v>
      </c>
      <c r="M4" s="2">
        <f t="shared" si="0"/>
        <v>65.599999999999994</v>
      </c>
      <c r="N4" s="2">
        <f>ROUND(($B$13-0.05)*O19,2)</f>
        <v>66.34</v>
      </c>
      <c r="O4" s="2">
        <f>ROUND(($B$13-0.05)*P19,2)</f>
        <v>71.08</v>
      </c>
      <c r="P4" s="2">
        <f>ROUND(($B$13-0.05)*Q19,2)</f>
        <v>75.819999999999993</v>
      </c>
      <c r="Q4" s="2">
        <f>ROUND(($B$13-0.05)*R19,2)</f>
        <v>80.56</v>
      </c>
      <c r="R4" s="2">
        <f>ROUND(($B$13-0.05)*S19,2)</f>
        <v>85.3</v>
      </c>
    </row>
    <row r="5" spans="1:19" x14ac:dyDescent="0.35">
      <c r="A5" s="2" t="s">
        <v>16</v>
      </c>
      <c r="B5" s="2" t="s">
        <v>7</v>
      </c>
      <c r="C5" s="2" t="s">
        <v>11</v>
      </c>
      <c r="D5" s="2">
        <v>5.0500000000000007</v>
      </c>
      <c r="E5" s="2">
        <v>6.1000000000000014</v>
      </c>
      <c r="F5" s="2">
        <v>6.5799999999999983</v>
      </c>
      <c r="G5" s="2">
        <f t="shared" ref="G5:M5" si="1">ROUND($B$14*H19,2)</f>
        <v>7.68</v>
      </c>
      <c r="H5" s="2">
        <f t="shared" si="1"/>
        <v>8.77</v>
      </c>
      <c r="I5" s="2">
        <f t="shared" si="1"/>
        <v>9.8699999999999992</v>
      </c>
      <c r="J5" s="2">
        <f t="shared" si="1"/>
        <v>10.97</v>
      </c>
      <c r="K5" s="2">
        <f t="shared" si="1"/>
        <v>12.06</v>
      </c>
      <c r="L5" s="2">
        <f t="shared" si="1"/>
        <v>13.16</v>
      </c>
      <c r="M5" s="2">
        <f t="shared" si="1"/>
        <v>14.25</v>
      </c>
      <c r="N5" s="2">
        <f>ROUND(($B$14-0.05)*O19,2)</f>
        <v>11.05</v>
      </c>
      <c r="O5" s="2">
        <f>ROUND(($B$14-0.05)*P19,2)</f>
        <v>11.84</v>
      </c>
      <c r="P5" s="2">
        <f>ROUND(($B$14-0.05)*Q19,2)</f>
        <v>12.63</v>
      </c>
      <c r="Q5" s="2">
        <f>ROUND(($B$14-0.05)*R19,2)</f>
        <v>13.42</v>
      </c>
      <c r="R5" s="2">
        <f>ROUND(($B$14-0.05)*S19,2)</f>
        <v>14.21</v>
      </c>
    </row>
    <row r="6" spans="1:19" x14ac:dyDescent="0.35">
      <c r="A6" s="2" t="s">
        <v>16</v>
      </c>
      <c r="B6" s="2" t="s">
        <v>8</v>
      </c>
      <c r="C6" s="2" t="s">
        <v>11</v>
      </c>
      <c r="D6" s="2">
        <v>2.5</v>
      </c>
      <c r="E6" s="2">
        <v>2.5</v>
      </c>
      <c r="F6" s="2">
        <v>2.6</v>
      </c>
      <c r="G6" s="2">
        <f t="shared" ref="G6:M6" si="2">ROUND(H13*$B$15,2)</f>
        <v>2.66</v>
      </c>
      <c r="H6" s="2">
        <f t="shared" si="2"/>
        <v>2.72</v>
      </c>
      <c r="I6" s="2">
        <f t="shared" si="2"/>
        <v>2.78</v>
      </c>
      <c r="J6" s="2">
        <f t="shared" si="2"/>
        <v>2.84</v>
      </c>
      <c r="K6" s="2">
        <f t="shared" si="2"/>
        <v>2.9</v>
      </c>
      <c r="L6" s="2">
        <f t="shared" si="2"/>
        <v>2.95</v>
      </c>
      <c r="M6" s="2">
        <f t="shared" si="2"/>
        <v>3.01</v>
      </c>
      <c r="N6" s="2">
        <f>ROUND(O13*($B$15-0.05),2)</f>
        <v>2.81</v>
      </c>
      <c r="O6" s="2">
        <f>ROUND(P13*($B$15-0.05),2)</f>
        <v>2.87</v>
      </c>
      <c r="P6" s="2">
        <f>ROUND(Q13*($B$15-0.05),2)</f>
        <v>2.92</v>
      </c>
      <c r="Q6" s="2">
        <f>ROUND(R13*($B$15-0.05),2)</f>
        <v>2.98</v>
      </c>
      <c r="R6" s="2">
        <f>ROUND(S13*($B$15-0.05),2)</f>
        <v>3.03</v>
      </c>
    </row>
    <row r="7" spans="1:19" x14ac:dyDescent="0.35">
      <c r="A7" s="2" t="s">
        <v>16</v>
      </c>
      <c r="B7" s="2" t="s">
        <v>9</v>
      </c>
      <c r="C7" s="2" t="s">
        <v>11</v>
      </c>
      <c r="D7" s="2">
        <v>1.7</v>
      </c>
      <c r="E7" s="2">
        <v>1.8</v>
      </c>
      <c r="F7" s="2">
        <v>1.8</v>
      </c>
      <c r="G7" s="2">
        <f t="shared" ref="G7:M7" si="3">ROUND(H13*$B$16,2)</f>
        <v>1.84</v>
      </c>
      <c r="H7" s="2">
        <f t="shared" si="3"/>
        <v>1.88</v>
      </c>
      <c r="I7" s="2">
        <f t="shared" si="3"/>
        <v>1.92</v>
      </c>
      <c r="J7" s="2">
        <f t="shared" si="3"/>
        <v>1.96</v>
      </c>
      <c r="K7" s="2">
        <f t="shared" si="3"/>
        <v>2</v>
      </c>
      <c r="L7" s="2">
        <f t="shared" si="3"/>
        <v>2.0499999999999998</v>
      </c>
      <c r="M7" s="2">
        <f t="shared" si="3"/>
        <v>2.09</v>
      </c>
      <c r="N7" s="2">
        <f>ROUND(O13*($B$16-0.05),2)</f>
        <v>1.87</v>
      </c>
      <c r="O7" s="2">
        <f>ROUND(P13*($B$16-0.05),2)</f>
        <v>1.9</v>
      </c>
      <c r="P7" s="2">
        <f>ROUND(Q13*($B$16-0.05),2)</f>
        <v>1.94</v>
      </c>
      <c r="Q7" s="2">
        <f>ROUND(R13*($B$16-0.05),2)</f>
        <v>1.98</v>
      </c>
      <c r="R7" s="2">
        <f>ROUND(S13*($B$16-0.05),2)</f>
        <v>2.0099999999999998</v>
      </c>
    </row>
    <row r="8" spans="1:19" x14ac:dyDescent="0.35">
      <c r="A8" s="2" t="s">
        <v>16</v>
      </c>
      <c r="B8" s="2" t="s">
        <v>10</v>
      </c>
      <c r="C8" s="2" t="s">
        <v>11</v>
      </c>
      <c r="D8" s="2">
        <v>12</v>
      </c>
      <c r="E8" s="2">
        <v>15</v>
      </c>
      <c r="F8" s="2">
        <v>18</v>
      </c>
      <c r="G8" s="2">
        <f t="shared" ref="G8:M8" si="4">$B$17*H14</f>
        <v>21</v>
      </c>
      <c r="H8" s="2">
        <f t="shared" si="4"/>
        <v>24</v>
      </c>
      <c r="I8" s="2">
        <f t="shared" si="4"/>
        <v>27</v>
      </c>
      <c r="J8" s="2">
        <f t="shared" si="4"/>
        <v>30</v>
      </c>
      <c r="K8" s="2">
        <f t="shared" si="4"/>
        <v>33</v>
      </c>
      <c r="L8" s="2">
        <f t="shared" si="4"/>
        <v>36</v>
      </c>
      <c r="M8" s="2">
        <f t="shared" si="4"/>
        <v>39</v>
      </c>
      <c r="N8" s="2">
        <f t="shared" ref="N8:R9" si="5">0.9*O14</f>
        <v>37.800000000000004</v>
      </c>
      <c r="O8" s="2">
        <f t="shared" si="5"/>
        <v>40.5</v>
      </c>
      <c r="P8" s="2">
        <f t="shared" si="5"/>
        <v>43.2</v>
      </c>
      <c r="Q8" s="2">
        <f t="shared" si="5"/>
        <v>45.9</v>
      </c>
      <c r="R8" s="2">
        <f t="shared" si="5"/>
        <v>48.6</v>
      </c>
    </row>
    <row r="9" spans="1:19" x14ac:dyDescent="0.35">
      <c r="A9" s="2" t="s">
        <v>16</v>
      </c>
      <c r="B9" s="2" t="s">
        <v>5</v>
      </c>
      <c r="C9" s="2" t="s">
        <v>4</v>
      </c>
      <c r="D9" s="2">
        <v>22</v>
      </c>
      <c r="E9" s="2">
        <v>23</v>
      </c>
      <c r="F9" s="2">
        <v>24</v>
      </c>
      <c r="G9" s="2">
        <f t="shared" ref="G9:M9" si="6">$B$18*H15</f>
        <v>25</v>
      </c>
      <c r="H9" s="2">
        <f t="shared" si="6"/>
        <v>26</v>
      </c>
      <c r="I9" s="2">
        <f t="shared" si="6"/>
        <v>27</v>
      </c>
      <c r="J9" s="2">
        <f t="shared" si="6"/>
        <v>28</v>
      </c>
      <c r="K9" s="2">
        <f t="shared" si="6"/>
        <v>29</v>
      </c>
      <c r="L9" s="2">
        <f t="shared" si="6"/>
        <v>30</v>
      </c>
      <c r="M9" s="2">
        <f t="shared" si="6"/>
        <v>31</v>
      </c>
      <c r="N9" s="2">
        <f t="shared" si="5"/>
        <v>28.8</v>
      </c>
      <c r="O9" s="2">
        <f t="shared" si="5"/>
        <v>29.7</v>
      </c>
      <c r="P9" s="2">
        <f t="shared" si="5"/>
        <v>30.6</v>
      </c>
      <c r="Q9" s="2">
        <f t="shared" si="5"/>
        <v>31.5</v>
      </c>
      <c r="R9" s="2">
        <f t="shared" si="5"/>
        <v>32.4</v>
      </c>
    </row>
    <row r="12" spans="1:19" ht="44.5" customHeight="1" x14ac:dyDescent="0.35">
      <c r="A12" s="1" t="s">
        <v>2</v>
      </c>
      <c r="B12" s="1" t="s">
        <v>21</v>
      </c>
      <c r="D12" s="7" t="s">
        <v>20</v>
      </c>
      <c r="E12" s="8">
        <v>2021</v>
      </c>
      <c r="F12" s="8">
        <v>2022</v>
      </c>
      <c r="G12" s="8">
        <v>2023</v>
      </c>
      <c r="H12" s="8">
        <v>2024</v>
      </c>
      <c r="I12" s="8">
        <v>2025</v>
      </c>
      <c r="J12" s="8">
        <v>2026</v>
      </c>
      <c r="K12" s="8">
        <v>2027</v>
      </c>
      <c r="L12" s="8">
        <v>2028</v>
      </c>
      <c r="M12" s="8">
        <v>2029</v>
      </c>
      <c r="N12" s="8">
        <v>2030</v>
      </c>
      <c r="O12" s="8">
        <v>2031</v>
      </c>
      <c r="P12" s="8">
        <v>2032</v>
      </c>
      <c r="Q12" s="8">
        <v>2033</v>
      </c>
      <c r="R12" s="8">
        <v>2034</v>
      </c>
      <c r="S12" s="8">
        <v>2035</v>
      </c>
    </row>
    <row r="13" spans="1:19" x14ac:dyDescent="0.35">
      <c r="A13" s="2" t="s">
        <v>6</v>
      </c>
      <c r="B13" s="2">
        <f>F4/(F4+F5)</f>
        <v>0.82148670645686384</v>
      </c>
      <c r="D13" s="2" t="s">
        <v>17</v>
      </c>
      <c r="E13" s="2">
        <v>4.2</v>
      </c>
      <c r="F13" s="2">
        <v>4.3</v>
      </c>
      <c r="G13" s="2">
        <v>4.4000000000000004</v>
      </c>
      <c r="H13" s="2">
        <v>4.5</v>
      </c>
      <c r="I13" s="2">
        <v>4.5999999999999996</v>
      </c>
      <c r="J13" s="2">
        <v>4.7</v>
      </c>
      <c r="K13" s="2">
        <v>4.8</v>
      </c>
      <c r="L13" s="2">
        <v>4.9000000000000004</v>
      </c>
      <c r="M13" s="2">
        <v>5</v>
      </c>
      <c r="N13" s="2">
        <v>5.0999999999999996</v>
      </c>
      <c r="O13" s="2">
        <v>5.2</v>
      </c>
      <c r="P13" s="2">
        <v>5.3</v>
      </c>
      <c r="Q13" s="2">
        <v>5.4</v>
      </c>
      <c r="R13" s="2">
        <v>5.5</v>
      </c>
      <c r="S13" s="2">
        <v>5.6</v>
      </c>
    </row>
    <row r="14" spans="1:19" x14ac:dyDescent="0.35">
      <c r="A14" s="2" t="s">
        <v>7</v>
      </c>
      <c r="B14" s="2">
        <f>F5/(F4+F5)</f>
        <v>0.17851329354313614</v>
      </c>
      <c r="D14" s="2" t="s">
        <v>18</v>
      </c>
      <c r="E14" s="2">
        <v>12</v>
      </c>
      <c r="F14" s="2">
        <v>15</v>
      </c>
      <c r="G14" s="2">
        <v>18</v>
      </c>
      <c r="H14" s="2">
        <v>21</v>
      </c>
      <c r="I14" s="2">
        <v>24</v>
      </c>
      <c r="J14" s="2">
        <v>27</v>
      </c>
      <c r="K14" s="2">
        <v>30</v>
      </c>
      <c r="L14" s="2">
        <v>33</v>
      </c>
      <c r="M14" s="2">
        <v>36</v>
      </c>
      <c r="N14" s="2">
        <v>39</v>
      </c>
      <c r="O14" s="2">
        <v>42</v>
      </c>
      <c r="P14" s="2">
        <v>45</v>
      </c>
      <c r="Q14" s="2">
        <v>48</v>
      </c>
      <c r="R14" s="2">
        <v>51</v>
      </c>
      <c r="S14" s="2">
        <v>54</v>
      </c>
    </row>
    <row r="15" spans="1:19" x14ac:dyDescent="0.35">
      <c r="A15" s="2" t="s">
        <v>8</v>
      </c>
      <c r="B15" s="2">
        <f>F6/(F6+F7)</f>
        <v>0.59090909090909083</v>
      </c>
      <c r="D15" s="2" t="s">
        <v>19</v>
      </c>
      <c r="E15" s="2">
        <v>22</v>
      </c>
      <c r="F15" s="2">
        <v>23</v>
      </c>
      <c r="G15" s="2">
        <v>24</v>
      </c>
      <c r="H15" s="2">
        <v>25</v>
      </c>
      <c r="I15" s="2">
        <v>26</v>
      </c>
      <c r="J15" s="2">
        <v>27</v>
      </c>
      <c r="K15" s="2">
        <v>28</v>
      </c>
      <c r="L15" s="2">
        <v>29</v>
      </c>
      <c r="M15" s="2">
        <v>30</v>
      </c>
      <c r="N15" s="2">
        <v>31</v>
      </c>
      <c r="O15" s="2">
        <v>32</v>
      </c>
      <c r="P15" s="2">
        <v>33</v>
      </c>
      <c r="Q15" s="2">
        <v>34</v>
      </c>
      <c r="R15" s="2">
        <v>35</v>
      </c>
      <c r="S15" s="2">
        <v>36</v>
      </c>
    </row>
    <row r="16" spans="1:19" x14ac:dyDescent="0.35">
      <c r="A16" s="2" t="s">
        <v>9</v>
      </c>
      <c r="B16" s="2">
        <f>F7/(F6+F7)</f>
        <v>0.40909090909090906</v>
      </c>
    </row>
    <row r="17" spans="1:19" ht="43.5" x14ac:dyDescent="0.35">
      <c r="A17" s="2" t="s">
        <v>10</v>
      </c>
      <c r="B17" s="2">
        <f>F8/F8</f>
        <v>1</v>
      </c>
      <c r="D17" s="9" t="s">
        <v>22</v>
      </c>
      <c r="E17" s="10">
        <v>2021</v>
      </c>
      <c r="F17" s="10">
        <v>2022</v>
      </c>
      <c r="G17" s="10">
        <v>2023</v>
      </c>
      <c r="H17" s="10">
        <v>2024</v>
      </c>
      <c r="I17" s="10">
        <v>2025</v>
      </c>
      <c r="J17" s="10">
        <v>2026</v>
      </c>
      <c r="K17" s="10">
        <v>2027</v>
      </c>
      <c r="L17" s="10">
        <v>2028</v>
      </c>
      <c r="M17" s="10">
        <v>2029</v>
      </c>
      <c r="N17" s="10">
        <v>2030</v>
      </c>
      <c r="O17" s="10">
        <v>2031</v>
      </c>
      <c r="P17" s="10">
        <v>2032</v>
      </c>
      <c r="Q17" s="10">
        <v>2033</v>
      </c>
      <c r="R17" s="10">
        <v>2034</v>
      </c>
      <c r="S17" s="10">
        <v>2035</v>
      </c>
    </row>
    <row r="18" spans="1:19" x14ac:dyDescent="0.35">
      <c r="A18" s="2" t="s">
        <v>5</v>
      </c>
      <c r="B18" s="2">
        <f>F9/F9</f>
        <v>1</v>
      </c>
      <c r="D18" s="2" t="s">
        <v>23</v>
      </c>
      <c r="E18" s="2">
        <v>20</v>
      </c>
      <c r="F18" s="2">
        <v>25</v>
      </c>
      <c r="G18" s="2">
        <v>30</v>
      </c>
      <c r="H18" s="2">
        <v>35</v>
      </c>
      <c r="I18" s="2">
        <v>40</v>
      </c>
      <c r="J18" s="2">
        <v>45</v>
      </c>
      <c r="K18" s="2">
        <v>50</v>
      </c>
      <c r="L18" s="2">
        <v>55</v>
      </c>
      <c r="M18" s="2">
        <v>60</v>
      </c>
      <c r="N18" s="2">
        <v>65</v>
      </c>
      <c r="O18" s="2">
        <v>70</v>
      </c>
      <c r="P18" s="2">
        <v>75</v>
      </c>
      <c r="Q18" s="2">
        <v>80</v>
      </c>
      <c r="R18" s="2">
        <v>85</v>
      </c>
      <c r="S18" s="2">
        <v>90</v>
      </c>
    </row>
    <row r="19" spans="1:19" x14ac:dyDescent="0.35">
      <c r="D19" s="2" t="s">
        <v>24</v>
      </c>
      <c r="E19" s="5">
        <f>E18*1.17*1.05</f>
        <v>24.57</v>
      </c>
      <c r="F19" s="5">
        <f t="shared" ref="F19:S19" si="7">F18*1.17*1.05</f>
        <v>30.712500000000002</v>
      </c>
      <c r="G19" s="5">
        <f t="shared" si="7"/>
        <v>36.854999999999997</v>
      </c>
      <c r="H19" s="5">
        <f t="shared" si="7"/>
        <v>42.997499999999995</v>
      </c>
      <c r="I19" s="5">
        <f t="shared" si="7"/>
        <v>49.14</v>
      </c>
      <c r="J19" s="5">
        <f t="shared" si="7"/>
        <v>55.282499999999999</v>
      </c>
      <c r="K19" s="5">
        <f t="shared" si="7"/>
        <v>61.425000000000004</v>
      </c>
      <c r="L19" s="5">
        <f t="shared" si="7"/>
        <v>67.567499999999995</v>
      </c>
      <c r="M19" s="5">
        <f t="shared" si="7"/>
        <v>73.709999999999994</v>
      </c>
      <c r="N19" s="5">
        <f t="shared" si="7"/>
        <v>79.852500000000006</v>
      </c>
      <c r="O19" s="5">
        <f t="shared" si="7"/>
        <v>85.99499999999999</v>
      </c>
      <c r="P19" s="5">
        <f t="shared" si="7"/>
        <v>92.137500000000003</v>
      </c>
      <c r="Q19" s="5">
        <f t="shared" si="7"/>
        <v>98.28</v>
      </c>
      <c r="R19" s="5">
        <f t="shared" si="7"/>
        <v>104.4225</v>
      </c>
      <c r="S19" s="5">
        <f t="shared" si="7"/>
        <v>110.565</v>
      </c>
    </row>
  </sheetData>
  <mergeCells count="1">
    <mergeCell ref="B1:C1"/>
  </mergeCells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3F92C-4D63-44F2-B67E-8121947D67B3}">
  <dimension ref="A1:R13"/>
  <sheetViews>
    <sheetView topLeftCell="B1" workbookViewId="0">
      <selection activeCell="G16" sqref="G16"/>
    </sheetView>
  </sheetViews>
  <sheetFormatPr defaultRowHeight="14.5" x14ac:dyDescent="0.35"/>
  <cols>
    <col min="1" max="1" width="9.453125" bestFit="1" customWidth="1"/>
    <col min="2" max="2" width="15.1796875" customWidth="1"/>
    <col min="3" max="3" width="23.90625" bestFit="1" customWidth="1"/>
  </cols>
  <sheetData>
    <row r="1" spans="1:18" x14ac:dyDescent="0.35">
      <c r="A1" s="6" t="s">
        <v>25</v>
      </c>
      <c r="B1" s="12" t="s">
        <v>39</v>
      </c>
      <c r="C1" s="12"/>
    </row>
    <row r="3" spans="1:18" x14ac:dyDescent="0.35">
      <c r="A3" s="1" t="s">
        <v>1</v>
      </c>
      <c r="B3" s="1" t="s">
        <v>2</v>
      </c>
      <c r="C3" s="1" t="s">
        <v>27</v>
      </c>
      <c r="D3" s="1">
        <v>2021</v>
      </c>
      <c r="E3" s="1">
        <v>2022</v>
      </c>
      <c r="F3" s="1">
        <v>2023</v>
      </c>
      <c r="G3" s="1">
        <v>2024</v>
      </c>
      <c r="H3" s="1">
        <v>2025</v>
      </c>
      <c r="I3" s="1">
        <v>2026</v>
      </c>
      <c r="J3" s="1">
        <v>2027</v>
      </c>
      <c r="K3" s="1">
        <v>2028</v>
      </c>
      <c r="L3" s="1">
        <v>2029</v>
      </c>
      <c r="M3" s="1">
        <v>2030</v>
      </c>
      <c r="N3" s="1">
        <v>2031</v>
      </c>
      <c r="O3" s="1">
        <v>2032</v>
      </c>
      <c r="P3" s="1">
        <v>2033</v>
      </c>
      <c r="Q3" s="1">
        <v>2034</v>
      </c>
      <c r="R3" s="1">
        <v>2035</v>
      </c>
    </row>
    <row r="4" spans="1:18" x14ac:dyDescent="0.35">
      <c r="A4" s="2" t="s">
        <v>29</v>
      </c>
      <c r="B4" s="2" t="s">
        <v>28</v>
      </c>
      <c r="C4" s="2" t="s">
        <v>41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f>M12*M13</f>
        <v>0.52500000000000002</v>
      </c>
      <c r="N4" s="2">
        <f t="shared" ref="N4:R4" si="0">N12*N13</f>
        <v>0.58800000000000008</v>
      </c>
      <c r="O4" s="2">
        <f t="shared" si="0"/>
        <v>0.65100000000000002</v>
      </c>
      <c r="P4" s="2">
        <f t="shared" si="0"/>
        <v>0.71400000000000008</v>
      </c>
      <c r="Q4" s="2">
        <f t="shared" si="0"/>
        <v>0.77700000000000002</v>
      </c>
      <c r="R4" s="2">
        <f t="shared" si="0"/>
        <v>0.84000000000000008</v>
      </c>
    </row>
    <row r="5" spans="1:18" x14ac:dyDescent="0.35">
      <c r="A5" s="2" t="s">
        <v>29</v>
      </c>
      <c r="B5" s="2" t="s">
        <v>12</v>
      </c>
      <c r="C5" s="2" t="s">
        <v>41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-1</v>
      </c>
      <c r="N5" s="2">
        <v>-1</v>
      </c>
      <c r="O5" s="2">
        <v>-1</v>
      </c>
      <c r="P5" s="2">
        <v>-1</v>
      </c>
      <c r="Q5" s="2">
        <v>-1</v>
      </c>
      <c r="R5" s="2">
        <v>-1</v>
      </c>
    </row>
    <row r="6" spans="1:18" x14ac:dyDescent="0.35">
      <c r="A6" s="2" t="s">
        <v>29</v>
      </c>
      <c r="B6" s="2" t="s">
        <v>13</v>
      </c>
      <c r="C6" s="2" t="s">
        <v>41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-1</v>
      </c>
      <c r="N6" s="2">
        <v>-1</v>
      </c>
      <c r="O6" s="2">
        <v>-1</v>
      </c>
      <c r="P6" s="2">
        <v>-1</v>
      </c>
      <c r="Q6" s="2">
        <v>-1</v>
      </c>
      <c r="R6" s="2">
        <v>-1</v>
      </c>
    </row>
    <row r="7" spans="1:18" x14ac:dyDescent="0.35">
      <c r="A7" s="2" t="s">
        <v>29</v>
      </c>
      <c r="B7" s="2" t="s">
        <v>14</v>
      </c>
      <c r="C7" s="2" t="s">
        <v>41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-1</v>
      </c>
      <c r="N7" s="2">
        <v>-1</v>
      </c>
      <c r="O7" s="2">
        <v>-1</v>
      </c>
      <c r="P7" s="2">
        <v>-1</v>
      </c>
      <c r="Q7" s="2">
        <v>-1</v>
      </c>
      <c r="R7" s="2">
        <v>-1</v>
      </c>
    </row>
    <row r="8" spans="1:18" x14ac:dyDescent="0.35">
      <c r="A8" s="2" t="s">
        <v>29</v>
      </c>
      <c r="B8" s="2" t="s">
        <v>15</v>
      </c>
      <c r="C8" s="2" t="s">
        <v>41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-1</v>
      </c>
      <c r="N8" s="2">
        <v>-1</v>
      </c>
      <c r="O8" s="2">
        <v>-1</v>
      </c>
      <c r="P8" s="2">
        <v>-1</v>
      </c>
      <c r="Q8" s="2">
        <v>-1</v>
      </c>
      <c r="R8" s="2">
        <v>-1</v>
      </c>
    </row>
    <row r="11" spans="1:18" x14ac:dyDescent="0.35">
      <c r="C11" s="2"/>
      <c r="D11" s="1">
        <v>2021</v>
      </c>
      <c r="E11" s="1">
        <v>2022</v>
      </c>
      <c r="F11" s="1">
        <v>2023</v>
      </c>
      <c r="G11" s="1">
        <v>2024</v>
      </c>
      <c r="H11" s="1">
        <v>2025</v>
      </c>
      <c r="I11" s="1">
        <v>2026</v>
      </c>
      <c r="J11" s="1">
        <v>2027</v>
      </c>
      <c r="K11" s="1">
        <v>2028</v>
      </c>
      <c r="L11" s="1">
        <v>2029</v>
      </c>
      <c r="M11" s="1">
        <v>2030</v>
      </c>
      <c r="N11" s="1">
        <v>2031</v>
      </c>
      <c r="O11" s="1">
        <v>2032</v>
      </c>
      <c r="P11" s="1">
        <v>2033</v>
      </c>
      <c r="Q11" s="1">
        <v>2034</v>
      </c>
      <c r="R11" s="1">
        <v>2035</v>
      </c>
    </row>
    <row r="12" spans="1:18" x14ac:dyDescent="0.35">
      <c r="C12" s="2" t="s">
        <v>31</v>
      </c>
      <c r="D12" s="2">
        <v>1.05</v>
      </c>
      <c r="E12" s="2">
        <v>1.05</v>
      </c>
      <c r="F12" s="2">
        <v>1.05</v>
      </c>
      <c r="G12" s="2">
        <v>1.05</v>
      </c>
      <c r="H12" s="2">
        <v>1.05</v>
      </c>
      <c r="I12" s="2">
        <v>1.05</v>
      </c>
      <c r="J12" s="2">
        <v>1.05</v>
      </c>
      <c r="K12" s="2">
        <v>1.05</v>
      </c>
      <c r="L12" s="2">
        <v>1.05</v>
      </c>
      <c r="M12" s="2">
        <v>1.05</v>
      </c>
      <c r="N12" s="2">
        <v>1.05</v>
      </c>
      <c r="O12" s="2">
        <v>1.05</v>
      </c>
      <c r="P12" s="2">
        <v>1.05</v>
      </c>
      <c r="Q12" s="2">
        <v>1.05</v>
      </c>
      <c r="R12" s="2">
        <v>1.05</v>
      </c>
    </row>
    <row r="13" spans="1:18" x14ac:dyDescent="0.35">
      <c r="C13" s="2" t="s">
        <v>30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0.5</v>
      </c>
      <c r="N13" s="2">
        <v>0.56000000000000005</v>
      </c>
      <c r="O13" s="2">
        <v>0.62</v>
      </c>
      <c r="P13" s="2">
        <v>0.68</v>
      </c>
      <c r="Q13" s="2">
        <v>0.74</v>
      </c>
      <c r="R13" s="2">
        <v>0.8</v>
      </c>
    </row>
  </sheetData>
  <mergeCells count="1">
    <mergeCell ref="B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16E10-2A67-4BBE-8EC8-3AEA25FF31BF}">
  <dimension ref="A1:R4"/>
  <sheetViews>
    <sheetView tabSelected="1" workbookViewId="0">
      <selection activeCell="K10" sqref="K10"/>
    </sheetView>
  </sheetViews>
  <sheetFormatPr defaultRowHeight="14.5" x14ac:dyDescent="0.35"/>
  <cols>
    <col min="1" max="1" width="9.453125" bestFit="1" customWidth="1"/>
    <col min="2" max="2" width="16" customWidth="1"/>
    <col min="3" max="3" width="25.7265625" bestFit="1" customWidth="1"/>
  </cols>
  <sheetData>
    <row r="1" spans="1:18" x14ac:dyDescent="0.35">
      <c r="A1" s="6" t="s">
        <v>25</v>
      </c>
      <c r="B1" s="12" t="s">
        <v>40</v>
      </c>
      <c r="C1" s="12"/>
    </row>
    <row r="3" spans="1:18" x14ac:dyDescent="0.35">
      <c r="A3" s="1" t="s">
        <v>1</v>
      </c>
      <c r="B3" s="1" t="s">
        <v>33</v>
      </c>
      <c r="C3" s="1" t="s">
        <v>0</v>
      </c>
      <c r="D3" s="1">
        <v>2021</v>
      </c>
      <c r="E3" s="1">
        <v>2022</v>
      </c>
      <c r="F3" s="1">
        <v>2023</v>
      </c>
      <c r="G3" s="1">
        <v>2024</v>
      </c>
      <c r="H3" s="1">
        <v>2025</v>
      </c>
      <c r="I3" s="1">
        <v>2026</v>
      </c>
      <c r="J3" s="1">
        <v>2027</v>
      </c>
      <c r="K3" s="1">
        <v>2028</v>
      </c>
      <c r="L3" s="1">
        <v>2029</v>
      </c>
      <c r="M3" s="1">
        <v>2030</v>
      </c>
      <c r="N3" s="1">
        <v>2031</v>
      </c>
      <c r="O3" s="1">
        <v>2032</v>
      </c>
      <c r="P3" s="1">
        <v>2033</v>
      </c>
      <c r="Q3" s="1">
        <v>2034</v>
      </c>
      <c r="R3" s="1">
        <v>2035</v>
      </c>
    </row>
    <row r="4" spans="1:18" x14ac:dyDescent="0.35">
      <c r="A4" s="2" t="s">
        <v>32</v>
      </c>
      <c r="B4" s="2" t="s">
        <v>34</v>
      </c>
      <c r="C4" s="2" t="s">
        <v>35</v>
      </c>
      <c r="D4" s="2">
        <v>999999</v>
      </c>
      <c r="E4" s="2">
        <v>999999</v>
      </c>
      <c r="F4" s="2">
        <v>999999</v>
      </c>
      <c r="G4" s="2">
        <v>14000</v>
      </c>
      <c r="H4" s="2">
        <v>14250</v>
      </c>
      <c r="I4" s="2">
        <v>14500</v>
      </c>
      <c r="J4" s="2">
        <v>14750</v>
      </c>
      <c r="K4" s="2">
        <v>14250</v>
      </c>
      <c r="L4" s="2">
        <v>13750</v>
      </c>
      <c r="M4" s="2">
        <v>13000</v>
      </c>
      <c r="N4" s="2">
        <v>12500</v>
      </c>
      <c r="O4" s="2">
        <v>12000</v>
      </c>
      <c r="P4" s="2">
        <v>11500</v>
      </c>
      <c r="Q4" s="2">
        <v>11000</v>
      </c>
      <c r="R4" s="2">
        <v>10500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Content</vt:lpstr>
      <vt:lpstr>BAU Scenario</vt:lpstr>
      <vt:lpstr>RT Scenario</vt:lpstr>
      <vt:lpstr>EL Scenario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marcela moreno hinestroza</dc:creator>
  <cp:lastModifiedBy>luisa marcela moreno hinestroza</cp:lastModifiedBy>
  <dcterms:created xsi:type="dcterms:W3CDTF">2024-12-16T01:24:14Z</dcterms:created>
  <dcterms:modified xsi:type="dcterms:W3CDTF">2025-01-16T21:59:19Z</dcterms:modified>
</cp:coreProperties>
</file>