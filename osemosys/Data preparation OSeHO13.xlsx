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OneDrive\Documentos\Contrato_IEA-CCG\New OU courses\New course\Hands-ons\"/>
    </mc:Choice>
  </mc:AlternateContent>
  <xr:revisionPtr revIDLastSave="0" documentId="13_ncr:1_{FC2CFE46-5B34-4EE5-AED6-F8280A63364B}" xr6:coauthVersionLast="47" xr6:coauthVersionMax="47" xr10:uidLastSave="{00000000-0000-0000-0000-000000000000}"/>
  <bookViews>
    <workbookView xWindow="-110" yWindow="-110" windowWidth="19420" windowHeight="10420" firstSheet="1" activeTab="2" xr2:uid="{0A0C2DC8-FAFE-4F1E-95D0-1C2265D8A064}"/>
  </bookViews>
  <sheets>
    <sheet name="Content" sheetId="7" r:id="rId1"/>
    <sheet name="ResCapacity" sheetId="4" r:id="rId2"/>
    <sheet name="TTAnnualActLowerLim" sheetId="3" r:id="rId3"/>
    <sheet name="TAnnualMaxCapInv" sheetId="18" r:id="rId4"/>
    <sheet name="TActIncBMLimit" sheetId="1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" l="1"/>
  <c r="H6" i="3"/>
  <c r="I6" i="3" s="1"/>
  <c r="J6" i="3" s="1"/>
  <c r="K6" i="3" s="1"/>
  <c r="G5" i="3"/>
  <c r="G2" i="3"/>
  <c r="H2" i="3" s="1"/>
  <c r="I2" i="3" s="1"/>
  <c r="J2" i="3" s="1"/>
  <c r="K2" i="3" s="1"/>
  <c r="G3" i="3"/>
  <c r="H3" i="3" s="1"/>
  <c r="I3" i="3" s="1"/>
  <c r="J3" i="3" s="1"/>
  <c r="K3" i="3" s="1"/>
  <c r="H4" i="3"/>
  <c r="I4" i="3" s="1"/>
  <c r="J4" i="3" s="1"/>
  <c r="K4" i="3" s="1"/>
  <c r="M4" i="3" s="1"/>
  <c r="H5" i="3"/>
  <c r="I5" i="3" s="1"/>
  <c r="J5" i="3" s="1"/>
  <c r="K5" i="3" s="1"/>
  <c r="G4" i="3"/>
  <c r="G7" i="3"/>
  <c r="H7" i="3" s="1"/>
  <c r="I7" i="3" s="1"/>
  <c r="J7" i="3" s="1"/>
  <c r="K7" i="3" s="1"/>
  <c r="M4" i="4"/>
  <c r="N4" i="4"/>
  <c r="O4" i="4"/>
  <c r="P4" i="4"/>
  <c r="Q4" i="4"/>
  <c r="R4" i="4"/>
  <c r="M5" i="4"/>
  <c r="N5" i="4"/>
  <c r="O5" i="4"/>
  <c r="P5" i="4"/>
  <c r="Q5" i="4"/>
  <c r="R5" i="4"/>
  <c r="M6" i="4"/>
  <c r="N6" i="4"/>
  <c r="O6" i="4"/>
  <c r="P6" i="4"/>
  <c r="Q6" i="4"/>
  <c r="R6" i="4"/>
  <c r="M7" i="4"/>
  <c r="N7" i="4"/>
  <c r="O7" i="4"/>
  <c r="P7" i="4"/>
  <c r="Q7" i="4"/>
  <c r="R7" i="4"/>
  <c r="L7" i="4"/>
  <c r="L6" i="4"/>
  <c r="L5" i="4"/>
  <c r="L4" i="4"/>
  <c r="G3" i="4"/>
  <c r="H3" i="4" s="1"/>
  <c r="I3" i="4" s="1"/>
  <c r="J3" i="4" s="1"/>
  <c r="K3" i="4" s="1"/>
  <c r="G2" i="4"/>
  <c r="H2" i="4" s="1"/>
  <c r="I2" i="4" s="1"/>
  <c r="J2" i="4" s="1"/>
  <c r="K2" i="4" s="1"/>
  <c r="M6" i="3" l="1"/>
  <c r="N6" i="3"/>
  <c r="O6" i="3"/>
  <c r="P6" i="3"/>
  <c r="Q6" i="3"/>
  <c r="R6" i="3"/>
  <c r="L6" i="3"/>
  <c r="N7" i="3"/>
  <c r="O7" i="3"/>
  <c r="P7" i="3"/>
  <c r="Q7" i="3"/>
  <c r="R7" i="3"/>
  <c r="L7" i="3"/>
  <c r="M7" i="3"/>
  <c r="O3" i="3"/>
  <c r="M3" i="3"/>
  <c r="N3" i="3"/>
  <c r="L3" i="3"/>
  <c r="N5" i="3"/>
  <c r="P5" i="3"/>
  <c r="Q5" i="3"/>
  <c r="R5" i="3"/>
  <c r="L5" i="3"/>
  <c r="M5" i="3"/>
  <c r="O5" i="3"/>
  <c r="R4" i="3"/>
  <c r="Q4" i="3"/>
  <c r="L4" i="3"/>
  <c r="P4" i="3"/>
  <c r="O4" i="3"/>
  <c r="N4" i="3"/>
  <c r="N2" i="4"/>
  <c r="P2" i="4"/>
  <c r="Q2" i="4"/>
  <c r="M2" i="4"/>
  <c r="R2" i="4"/>
  <c r="L2" i="4"/>
  <c r="O2" i="4"/>
  <c r="M2" i="3"/>
  <c r="N2" i="3"/>
  <c r="O2" i="3"/>
  <c r="P2" i="3"/>
  <c r="Q2" i="3"/>
  <c r="R2" i="3"/>
  <c r="L2" i="3"/>
  <c r="R3" i="3"/>
  <c r="Q3" i="3"/>
  <c r="P3" i="3"/>
  <c r="M3" i="4"/>
  <c r="N3" i="4"/>
  <c r="O3" i="4"/>
  <c r="P3" i="4"/>
  <c r="Q3" i="4"/>
  <c r="R3" i="4"/>
  <c r="L3" i="4"/>
  <c r="R14" i="4"/>
</calcChain>
</file>

<file path=xl/sharedStrings.xml><?xml version="1.0" encoding="utf-8"?>
<sst xmlns="http://schemas.openxmlformats.org/spreadsheetml/2006/main" count="87" uniqueCount="30">
  <si>
    <t>Unit</t>
  </si>
  <si>
    <t>Scenario</t>
  </si>
  <si>
    <t>SC_0</t>
  </si>
  <si>
    <t>Technology</t>
  </si>
  <si>
    <t>Mode of Operation</t>
  </si>
  <si>
    <t>This Data preparation file contains</t>
  </si>
  <si>
    <t>Residual Capacity</t>
  </si>
  <si>
    <t>10^9passenger-kms</t>
  </si>
  <si>
    <t>DEMTRACARGSL</t>
  </si>
  <si>
    <t>DEMTRACARNGS</t>
  </si>
  <si>
    <t>GW</t>
  </si>
  <si>
    <t>PWRDSL</t>
  </si>
  <si>
    <t>PWRNGS</t>
  </si>
  <si>
    <t>DEMRESCKNLPG</t>
  </si>
  <si>
    <t>DEMRESCKNBIO</t>
  </si>
  <si>
    <t>DEMINDLHELPG</t>
  </si>
  <si>
    <t>PJ</t>
  </si>
  <si>
    <t>PWRHYD</t>
  </si>
  <si>
    <t>PWRBIO</t>
  </si>
  <si>
    <t>PWRSOL</t>
  </si>
  <si>
    <t>PWRWND</t>
  </si>
  <si>
    <t>BATTPWR</t>
  </si>
  <si>
    <t>DEMRESCKNELC</t>
  </si>
  <si>
    <t>DEMINDLHENGS</t>
  </si>
  <si>
    <t>DEMINDLHEELC</t>
  </si>
  <si>
    <t>DEMNTRACARELC</t>
  </si>
  <si>
    <t>%/100</t>
  </si>
  <si>
    <t xml:space="preserve">Total Technology Annual Activity Lower Limit  </t>
  </si>
  <si>
    <t>Total Annual Max Capacity Investment</t>
  </si>
  <si>
    <t>Technology Activity Increase By Mode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</si>
</sst>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0" xfId="0" applyFill="1"/>
    <xf numFmtId="0" fontId="3" fillId="3" borderId="0" xfId="1" applyFill="1"/>
    <xf numFmtId="0" fontId="1" fillId="3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BB41-FFE4-468F-957E-442D0BA50EA0}">
  <dimension ref="B3:I8"/>
  <sheetViews>
    <sheetView topLeftCell="A2" zoomScale="130" zoomScaleNormal="130" workbookViewId="0">
      <selection activeCell="B13" sqref="B13"/>
    </sheetView>
  </sheetViews>
  <sheetFormatPr defaultRowHeight="14.5" x14ac:dyDescent="0.35"/>
  <cols>
    <col min="1" max="1" width="8.7265625" style="3"/>
    <col min="2" max="2" width="49.36328125" style="3" customWidth="1"/>
    <col min="3" max="16384" width="8.7265625" style="3"/>
  </cols>
  <sheetData>
    <row r="3" spans="2:9" x14ac:dyDescent="0.35">
      <c r="B3" s="5" t="s">
        <v>5</v>
      </c>
      <c r="C3" s="5"/>
      <c r="D3" s="5"/>
      <c r="E3" s="5"/>
      <c r="F3" s="5"/>
      <c r="G3" s="5"/>
      <c r="H3" s="5"/>
      <c r="I3" s="5"/>
    </row>
    <row r="5" spans="2:9" x14ac:dyDescent="0.35">
      <c r="B5" s="4" t="s">
        <v>6</v>
      </c>
    </row>
    <row r="6" spans="2:9" x14ac:dyDescent="0.35">
      <c r="B6" s="4" t="s">
        <v>27</v>
      </c>
    </row>
    <row r="7" spans="2:9" x14ac:dyDescent="0.35">
      <c r="B7" s="4" t="s">
        <v>28</v>
      </c>
    </row>
    <row r="8" spans="2:9" x14ac:dyDescent="0.35">
      <c r="B8" s="4" t="s">
        <v>29</v>
      </c>
    </row>
  </sheetData>
  <mergeCells count="1">
    <mergeCell ref="B3:I3"/>
  </mergeCells>
  <hyperlinks>
    <hyperlink ref="B5" location="ResCapacity!A1" display="Residual Capacity" xr:uid="{DAF16283-16B7-41CC-9710-1B2AB4440A4F}"/>
    <hyperlink ref="B6" location="TTAnnualActLowerLim!A1" display="Total Technology Annual Activity Lower Limit  " xr:uid="{1C89880C-3050-4B9F-A8F1-F53E75BF4594}"/>
    <hyperlink ref="B7" location="TAnnualMaxCapInv!A1" display="Total Annual Max Capacity Investment" xr:uid="{791BB7B1-59D0-4347-A62C-B8433C5A7A75}"/>
    <hyperlink ref="B8" location="TActIncBMLimit!A1" display="Technology Activity Increase By Mode Limit" xr:uid="{B2CE5B7F-2656-4AFC-B2B3-78AF98DCB60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F92C-4D63-44F2-B67E-8121947D67B3}">
  <dimension ref="A1:R14"/>
  <sheetViews>
    <sheetView topLeftCell="B1" workbookViewId="0">
      <selection activeCell="H12" sqref="H12"/>
    </sheetView>
  </sheetViews>
  <sheetFormatPr defaultRowHeight="14.5" x14ac:dyDescent="0.35"/>
  <cols>
    <col min="2" max="2" width="15.1796875" customWidth="1"/>
    <col min="3" max="3" width="17.36328125" bestFit="1" customWidth="1"/>
  </cols>
  <sheetData>
    <row r="1" spans="1:18" x14ac:dyDescent="0.35">
      <c r="A1" s="1" t="s">
        <v>1</v>
      </c>
      <c r="B1" s="1" t="s">
        <v>3</v>
      </c>
      <c r="C1" s="1" t="s">
        <v>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2</v>
      </c>
      <c r="B2" s="2" t="s">
        <v>11</v>
      </c>
      <c r="C2" s="2" t="s">
        <v>10</v>
      </c>
      <c r="D2" s="2">
        <v>1.1000000000000001</v>
      </c>
      <c r="E2" s="2">
        <v>1.3</v>
      </c>
      <c r="F2" s="2">
        <v>1.6</v>
      </c>
      <c r="G2" s="2">
        <f>F2</f>
        <v>1.6</v>
      </c>
      <c r="H2" s="2">
        <f t="shared" ref="H2:K2" si="0">G2</f>
        <v>1.6</v>
      </c>
      <c r="I2" s="2">
        <f t="shared" si="0"/>
        <v>1.6</v>
      </c>
      <c r="J2" s="2">
        <f t="shared" si="0"/>
        <v>1.6</v>
      </c>
      <c r="K2" s="2">
        <f t="shared" si="0"/>
        <v>1.6</v>
      </c>
      <c r="L2" s="2">
        <f>ROUND($K$2-(L1-2028)*$J$2/25,2)</f>
        <v>1.54</v>
      </c>
      <c r="M2" s="2">
        <f t="shared" ref="M2:R2" si="1">ROUND($K$2-(M1-2028)*$J$2/25,2)</f>
        <v>1.47</v>
      </c>
      <c r="N2" s="2">
        <f t="shared" si="1"/>
        <v>1.41</v>
      </c>
      <c r="O2" s="2">
        <f t="shared" si="1"/>
        <v>1.34</v>
      </c>
      <c r="P2" s="2">
        <f t="shared" si="1"/>
        <v>1.28</v>
      </c>
      <c r="Q2" s="2">
        <f t="shared" si="1"/>
        <v>1.22</v>
      </c>
      <c r="R2" s="2">
        <f t="shared" si="1"/>
        <v>1.1499999999999999</v>
      </c>
    </row>
    <row r="3" spans="1:18" x14ac:dyDescent="0.35">
      <c r="A3" s="2" t="s">
        <v>2</v>
      </c>
      <c r="B3" s="2" t="s">
        <v>12</v>
      </c>
      <c r="C3" s="2" t="s">
        <v>10</v>
      </c>
      <c r="D3" s="2">
        <v>1.03</v>
      </c>
      <c r="E3" s="2">
        <v>1.03</v>
      </c>
      <c r="F3" s="2">
        <v>1.1299999999999999</v>
      </c>
      <c r="G3" s="2">
        <f>F3</f>
        <v>1.1299999999999999</v>
      </c>
      <c r="H3" s="2">
        <f t="shared" ref="H3:K3" si="2">G3</f>
        <v>1.1299999999999999</v>
      </c>
      <c r="I3" s="2">
        <f t="shared" si="2"/>
        <v>1.1299999999999999</v>
      </c>
      <c r="J3" s="2">
        <f t="shared" si="2"/>
        <v>1.1299999999999999</v>
      </c>
      <c r="K3" s="2">
        <f t="shared" si="2"/>
        <v>1.1299999999999999</v>
      </c>
      <c r="L3" s="2">
        <f>ROUND($K$3-(L1-2028)*$K$3/25,2)</f>
        <v>1.08</v>
      </c>
      <c r="M3" s="2">
        <f t="shared" ref="M3:R3" si="3">ROUND($K$3-(M1-2028)*$K$3/25,2)</f>
        <v>1.04</v>
      </c>
      <c r="N3" s="2">
        <f t="shared" si="3"/>
        <v>0.99</v>
      </c>
      <c r="O3" s="2">
        <f t="shared" si="3"/>
        <v>0.95</v>
      </c>
      <c r="P3" s="2">
        <f t="shared" si="3"/>
        <v>0.9</v>
      </c>
      <c r="Q3" s="2">
        <f t="shared" si="3"/>
        <v>0.86</v>
      </c>
      <c r="R3" s="2">
        <f t="shared" si="3"/>
        <v>0.81</v>
      </c>
    </row>
    <row r="4" spans="1:18" x14ac:dyDescent="0.35">
      <c r="A4" s="2" t="s">
        <v>2</v>
      </c>
      <c r="B4" s="2" t="s">
        <v>13</v>
      </c>
      <c r="C4" s="2" t="s">
        <v>10</v>
      </c>
      <c r="D4" s="2">
        <v>0.08</v>
      </c>
      <c r="E4" s="2">
        <v>0.08</v>
      </c>
      <c r="F4" s="2">
        <v>0.09</v>
      </c>
      <c r="G4" s="2">
        <v>0.09</v>
      </c>
      <c r="H4" s="2">
        <v>0.09</v>
      </c>
      <c r="I4" s="2">
        <v>0.09</v>
      </c>
      <c r="J4" s="2">
        <v>0.09</v>
      </c>
      <c r="K4" s="2">
        <v>0.09</v>
      </c>
      <c r="L4" s="2">
        <f>ROUND($K$4-(L1-2028)*$K$4/10,2)</f>
        <v>0.08</v>
      </c>
      <c r="M4" s="2">
        <f t="shared" ref="M4:R4" si="4">ROUND($K$4-(M1-2028)*$K$4/10,2)</f>
        <v>7.0000000000000007E-2</v>
      </c>
      <c r="N4" s="2">
        <f t="shared" si="4"/>
        <v>0.06</v>
      </c>
      <c r="O4" s="2">
        <f t="shared" si="4"/>
        <v>0.05</v>
      </c>
      <c r="P4" s="2">
        <f t="shared" si="4"/>
        <v>0.05</v>
      </c>
      <c r="Q4" s="2">
        <f t="shared" si="4"/>
        <v>0.04</v>
      </c>
      <c r="R4" s="2">
        <f t="shared" si="4"/>
        <v>0.03</v>
      </c>
    </row>
    <row r="5" spans="1:18" x14ac:dyDescent="0.35">
      <c r="A5" s="2" t="s">
        <v>2</v>
      </c>
      <c r="B5" s="2" t="s">
        <v>14</v>
      </c>
      <c r="C5" s="2" t="s">
        <v>10</v>
      </c>
      <c r="D5" s="2">
        <v>0.06</v>
      </c>
      <c r="E5" s="2">
        <v>0.06</v>
      </c>
      <c r="F5" s="2">
        <v>0.06</v>
      </c>
      <c r="G5" s="2">
        <v>0.06</v>
      </c>
      <c r="H5" s="2">
        <v>0.06</v>
      </c>
      <c r="I5" s="2">
        <v>0.06</v>
      </c>
      <c r="J5" s="2">
        <v>0.06</v>
      </c>
      <c r="K5" s="2">
        <v>0.06</v>
      </c>
      <c r="L5" s="2">
        <f>ROUND($K$5-(L1-2028)*$K$5/10,2)</f>
        <v>0.05</v>
      </c>
      <c r="M5" s="2">
        <f t="shared" ref="M5:R5" si="5">ROUND($K$5-(M1-2028)*$K$5/10,2)</f>
        <v>0.05</v>
      </c>
      <c r="N5" s="2">
        <f t="shared" si="5"/>
        <v>0.04</v>
      </c>
      <c r="O5" s="2">
        <f t="shared" si="5"/>
        <v>0.04</v>
      </c>
      <c r="P5" s="2">
        <f t="shared" si="5"/>
        <v>0.03</v>
      </c>
      <c r="Q5" s="2">
        <f t="shared" si="5"/>
        <v>0.02</v>
      </c>
      <c r="R5" s="2">
        <f t="shared" si="5"/>
        <v>0.02</v>
      </c>
    </row>
    <row r="6" spans="1:18" x14ac:dyDescent="0.35">
      <c r="A6" s="2" t="s">
        <v>2</v>
      </c>
      <c r="B6" s="2" t="s">
        <v>15</v>
      </c>
      <c r="C6" s="2" t="s">
        <v>10</v>
      </c>
      <c r="D6" s="2">
        <v>0.4</v>
      </c>
      <c r="E6" s="2">
        <v>0.5</v>
      </c>
      <c r="F6" s="2">
        <v>0.6</v>
      </c>
      <c r="G6" s="2">
        <v>0.6</v>
      </c>
      <c r="H6" s="2">
        <v>0.6</v>
      </c>
      <c r="I6" s="2">
        <v>0.6</v>
      </c>
      <c r="J6" s="2">
        <v>0.6</v>
      </c>
      <c r="K6" s="2">
        <v>0.6</v>
      </c>
      <c r="L6" s="2">
        <f>ROUND($K$6-(L1-2028)*$K$6/25,2)</f>
        <v>0.57999999999999996</v>
      </c>
      <c r="M6" s="2">
        <f t="shared" ref="M6:R6" si="6">ROUND($K$6-(M1-2028)*$K$6/25,2)</f>
        <v>0.55000000000000004</v>
      </c>
      <c r="N6" s="2">
        <f t="shared" si="6"/>
        <v>0.53</v>
      </c>
      <c r="O6" s="2">
        <f t="shared" si="6"/>
        <v>0.5</v>
      </c>
      <c r="P6" s="2">
        <f t="shared" si="6"/>
        <v>0.48</v>
      </c>
      <c r="Q6" s="2">
        <f t="shared" si="6"/>
        <v>0.46</v>
      </c>
      <c r="R6" s="2">
        <f t="shared" si="6"/>
        <v>0.43</v>
      </c>
    </row>
    <row r="7" spans="1:18" x14ac:dyDescent="0.35">
      <c r="A7" s="2" t="s">
        <v>2</v>
      </c>
      <c r="B7" s="2" t="s">
        <v>8</v>
      </c>
      <c r="C7" s="2" t="s">
        <v>7</v>
      </c>
      <c r="D7" s="2">
        <v>22</v>
      </c>
      <c r="E7" s="2">
        <v>23</v>
      </c>
      <c r="F7" s="2">
        <v>24</v>
      </c>
      <c r="G7" s="2">
        <v>24</v>
      </c>
      <c r="H7" s="2">
        <v>24</v>
      </c>
      <c r="I7" s="2">
        <v>24</v>
      </c>
      <c r="J7" s="2">
        <v>24</v>
      </c>
      <c r="K7" s="2">
        <v>24</v>
      </c>
      <c r="L7" s="2">
        <f>ROUND($K$7-(L1-2028)*$K$7/15,2)</f>
        <v>22.4</v>
      </c>
      <c r="M7" s="2">
        <f t="shared" ref="M7:R7" si="7">ROUND($K$7-(M1-2028)*$K$7/15,2)</f>
        <v>20.8</v>
      </c>
      <c r="N7" s="2">
        <f t="shared" si="7"/>
        <v>19.2</v>
      </c>
      <c r="O7" s="2">
        <f t="shared" si="7"/>
        <v>17.600000000000001</v>
      </c>
      <c r="P7" s="2">
        <f t="shared" si="7"/>
        <v>16</v>
      </c>
      <c r="Q7" s="2">
        <f t="shared" si="7"/>
        <v>14.4</v>
      </c>
      <c r="R7" s="2">
        <f t="shared" si="7"/>
        <v>12.8</v>
      </c>
    </row>
    <row r="14" spans="1:18" x14ac:dyDescent="0.35">
      <c r="R14">
        <f>$K$14-(R1-2028)*$K$14/10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B82D-9B6A-4592-A72B-9AC9DD62A205}">
  <dimension ref="A1:R7"/>
  <sheetViews>
    <sheetView tabSelected="1" topLeftCell="C1" workbookViewId="0">
      <selection activeCell="H14" sqref="H14"/>
    </sheetView>
  </sheetViews>
  <sheetFormatPr defaultRowHeight="14.5" x14ac:dyDescent="0.35"/>
  <cols>
    <col min="2" max="2" width="14.54296875" bestFit="1" customWidth="1"/>
    <col min="3" max="3" width="25.7265625" bestFit="1" customWidth="1"/>
  </cols>
  <sheetData>
    <row r="1" spans="1:18" x14ac:dyDescent="0.35">
      <c r="A1" s="1" t="s">
        <v>1</v>
      </c>
      <c r="B1" s="1" t="s">
        <v>3</v>
      </c>
      <c r="C1" s="1" t="s">
        <v>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2</v>
      </c>
      <c r="B2" s="2" t="s">
        <v>11</v>
      </c>
      <c r="C2" s="2" t="s">
        <v>16</v>
      </c>
      <c r="D2" s="2">
        <v>19.52</v>
      </c>
      <c r="E2" s="2">
        <v>24.61</v>
      </c>
      <c r="F2" s="2">
        <v>30.28</v>
      </c>
      <c r="G2" s="2">
        <f t="shared" ref="G2:K2" si="0">F2</f>
        <v>30.28</v>
      </c>
      <c r="H2" s="2">
        <f t="shared" si="0"/>
        <v>30.28</v>
      </c>
      <c r="I2" s="2">
        <f t="shared" si="0"/>
        <v>30.28</v>
      </c>
      <c r="J2" s="2">
        <f t="shared" si="0"/>
        <v>30.28</v>
      </c>
      <c r="K2" s="2">
        <f t="shared" si="0"/>
        <v>30.28</v>
      </c>
      <c r="L2" s="2">
        <f>ROUND($K$2-(L1-2028)*$K$2/15,2)</f>
        <v>28.26</v>
      </c>
      <c r="M2" s="2">
        <f t="shared" ref="M2:R2" si="1">ROUND($K$2-(M1-2028)*$K$2/15,2)</f>
        <v>26.24</v>
      </c>
      <c r="N2" s="2">
        <f t="shared" si="1"/>
        <v>24.22</v>
      </c>
      <c r="O2" s="2">
        <f t="shared" si="1"/>
        <v>22.21</v>
      </c>
      <c r="P2" s="2">
        <f t="shared" si="1"/>
        <v>20.190000000000001</v>
      </c>
      <c r="Q2" s="2">
        <f t="shared" si="1"/>
        <v>18.170000000000002</v>
      </c>
      <c r="R2" s="2">
        <f t="shared" si="1"/>
        <v>16.149999999999999</v>
      </c>
    </row>
    <row r="3" spans="1:18" x14ac:dyDescent="0.35">
      <c r="A3" s="2" t="s">
        <v>2</v>
      </c>
      <c r="B3" s="2" t="s">
        <v>12</v>
      </c>
      <c r="C3" s="2" t="s">
        <v>16</v>
      </c>
      <c r="D3" s="2">
        <v>5.0500000000000007</v>
      </c>
      <c r="E3" s="2">
        <v>6.1000000000000014</v>
      </c>
      <c r="F3" s="2">
        <v>6.5799999999999983</v>
      </c>
      <c r="G3" s="2">
        <f t="shared" ref="G3:K3" si="2">F3</f>
        <v>6.5799999999999983</v>
      </c>
      <c r="H3" s="2">
        <f t="shared" si="2"/>
        <v>6.5799999999999983</v>
      </c>
      <c r="I3" s="2">
        <f t="shared" si="2"/>
        <v>6.5799999999999983</v>
      </c>
      <c r="J3" s="2">
        <f t="shared" si="2"/>
        <v>6.5799999999999983</v>
      </c>
      <c r="K3" s="2">
        <f t="shared" si="2"/>
        <v>6.5799999999999983</v>
      </c>
      <c r="L3" s="2">
        <f>ROUND($K$3-(L1-2028)*$K$3/15,2)</f>
        <v>6.14</v>
      </c>
      <c r="M3" s="2">
        <f t="shared" ref="M3:R3" si="3">ROUND($K$3-(M1-2028)*$K$3/15,2)</f>
        <v>5.7</v>
      </c>
      <c r="N3" s="2">
        <f t="shared" si="3"/>
        <v>5.26</v>
      </c>
      <c r="O3" s="2">
        <f t="shared" si="3"/>
        <v>4.83</v>
      </c>
      <c r="P3" s="2">
        <f t="shared" si="3"/>
        <v>4.3899999999999997</v>
      </c>
      <c r="Q3" s="2">
        <f t="shared" si="3"/>
        <v>3.95</v>
      </c>
      <c r="R3" s="2">
        <f t="shared" si="3"/>
        <v>3.51</v>
      </c>
    </row>
    <row r="4" spans="1:18" x14ac:dyDescent="0.35">
      <c r="A4" s="2" t="s">
        <v>2</v>
      </c>
      <c r="B4" s="2" t="s">
        <v>13</v>
      </c>
      <c r="C4" s="2" t="s">
        <v>16</v>
      </c>
      <c r="D4" s="2">
        <v>2.5</v>
      </c>
      <c r="E4" s="2">
        <v>2.5</v>
      </c>
      <c r="F4" s="2">
        <v>2.6</v>
      </c>
      <c r="G4" s="2">
        <f t="shared" ref="G4:K5" si="4">F4</f>
        <v>2.6</v>
      </c>
      <c r="H4" s="2">
        <f t="shared" si="4"/>
        <v>2.6</v>
      </c>
      <c r="I4" s="2">
        <f t="shared" si="4"/>
        <v>2.6</v>
      </c>
      <c r="J4" s="2">
        <f t="shared" si="4"/>
        <v>2.6</v>
      </c>
      <c r="K4" s="2">
        <f t="shared" si="4"/>
        <v>2.6</v>
      </c>
      <c r="L4" s="2">
        <f>ROUND($K$4-(L1-2028)*$K$4/15,2)</f>
        <v>2.4300000000000002</v>
      </c>
      <c r="M4" s="2">
        <f t="shared" ref="M4:R4" si="5">ROUND($K$4-(M1-2028)*$K$4/15,2)</f>
        <v>2.25</v>
      </c>
      <c r="N4" s="2">
        <f t="shared" si="5"/>
        <v>2.08</v>
      </c>
      <c r="O4" s="2">
        <f t="shared" si="5"/>
        <v>1.91</v>
      </c>
      <c r="P4" s="2">
        <f t="shared" si="5"/>
        <v>1.73</v>
      </c>
      <c r="Q4" s="2">
        <f t="shared" si="5"/>
        <v>1.56</v>
      </c>
      <c r="R4" s="2">
        <f t="shared" si="5"/>
        <v>1.39</v>
      </c>
    </row>
    <row r="5" spans="1:18" x14ac:dyDescent="0.35">
      <c r="A5" s="2" t="s">
        <v>2</v>
      </c>
      <c r="B5" s="2" t="s">
        <v>14</v>
      </c>
      <c r="C5" s="2" t="s">
        <v>16</v>
      </c>
      <c r="D5" s="2">
        <v>1.7</v>
      </c>
      <c r="E5" s="2">
        <v>1.8</v>
      </c>
      <c r="F5" s="2">
        <v>1.8</v>
      </c>
      <c r="G5" s="2">
        <f>F5</f>
        <v>1.8</v>
      </c>
      <c r="H5" s="2">
        <f t="shared" si="4"/>
        <v>1.8</v>
      </c>
      <c r="I5" s="2">
        <f t="shared" si="4"/>
        <v>1.8</v>
      </c>
      <c r="J5" s="2">
        <f t="shared" si="4"/>
        <v>1.8</v>
      </c>
      <c r="K5" s="2">
        <f t="shared" si="4"/>
        <v>1.8</v>
      </c>
      <c r="L5" s="2">
        <f>ROUND($K$5-(L1-2028)*$K$5/15,2)</f>
        <v>1.68</v>
      </c>
      <c r="M5" s="2">
        <f t="shared" ref="M5:R5" si="6">ROUND($K$5-(M1-2028)*$K$5/15,2)</f>
        <v>1.56</v>
      </c>
      <c r="N5" s="2">
        <f t="shared" si="6"/>
        <v>1.44</v>
      </c>
      <c r="O5" s="2">
        <f t="shared" si="6"/>
        <v>1.32</v>
      </c>
      <c r="P5" s="2">
        <f t="shared" si="6"/>
        <v>1.2</v>
      </c>
      <c r="Q5" s="2">
        <f t="shared" si="6"/>
        <v>1.08</v>
      </c>
      <c r="R5" s="2">
        <f t="shared" si="6"/>
        <v>0.96</v>
      </c>
    </row>
    <row r="6" spans="1:18" x14ac:dyDescent="0.35">
      <c r="A6" s="2" t="s">
        <v>2</v>
      </c>
      <c r="B6" s="2" t="s">
        <v>15</v>
      </c>
      <c r="C6" s="2" t="s">
        <v>16</v>
      </c>
      <c r="D6" s="2">
        <v>12</v>
      </c>
      <c r="E6" s="2">
        <v>15</v>
      </c>
      <c r="F6" s="2">
        <v>18</v>
      </c>
      <c r="G6" s="2">
        <f>F6</f>
        <v>18</v>
      </c>
      <c r="H6" s="2">
        <f t="shared" ref="H6" si="7">G6</f>
        <v>18</v>
      </c>
      <c r="I6" s="2">
        <f t="shared" ref="I6" si="8">H6</f>
        <v>18</v>
      </c>
      <c r="J6" s="2">
        <f t="shared" ref="J6" si="9">I6</f>
        <v>18</v>
      </c>
      <c r="K6" s="2">
        <f t="shared" ref="K6" si="10">J6</f>
        <v>18</v>
      </c>
      <c r="L6" s="2">
        <f>ROUND($K$6-(L1-2028)*$K$6/15,2)</f>
        <v>16.8</v>
      </c>
      <c r="M6" s="2">
        <f t="shared" ref="M6:R6" si="11">ROUND($K$6-(M1-2028)*$K$6/15,2)</f>
        <v>15.6</v>
      </c>
      <c r="N6" s="2">
        <f t="shared" si="11"/>
        <v>14.4</v>
      </c>
      <c r="O6" s="2">
        <f t="shared" si="11"/>
        <v>13.2</v>
      </c>
      <c r="P6" s="2">
        <f t="shared" si="11"/>
        <v>12</v>
      </c>
      <c r="Q6" s="2">
        <f t="shared" si="11"/>
        <v>10.8</v>
      </c>
      <c r="R6" s="2">
        <f t="shared" si="11"/>
        <v>9.6</v>
      </c>
    </row>
    <row r="7" spans="1:18" x14ac:dyDescent="0.35">
      <c r="A7" s="2" t="s">
        <v>2</v>
      </c>
      <c r="B7" s="2" t="s">
        <v>8</v>
      </c>
      <c r="C7" s="2" t="s">
        <v>7</v>
      </c>
      <c r="D7" s="2">
        <v>22</v>
      </c>
      <c r="E7" s="2">
        <v>23</v>
      </c>
      <c r="F7" s="2">
        <v>24</v>
      </c>
      <c r="G7" s="2">
        <f>F7</f>
        <v>24</v>
      </c>
      <c r="H7" s="2">
        <f t="shared" ref="H7:K7" si="12">G7</f>
        <v>24</v>
      </c>
      <c r="I7" s="2">
        <f t="shared" si="12"/>
        <v>24</v>
      </c>
      <c r="J7" s="2">
        <f t="shared" si="12"/>
        <v>24</v>
      </c>
      <c r="K7" s="2">
        <f t="shared" si="12"/>
        <v>24</v>
      </c>
      <c r="L7" s="2">
        <f>ROUND($K$7-(L1-2028)*$K$7/15,2)</f>
        <v>22.4</v>
      </c>
      <c r="M7" s="2">
        <f t="shared" ref="M7:R7" si="13">ROUND($K$7-(M1-2028)*$K$7/15,2)</f>
        <v>20.8</v>
      </c>
      <c r="N7" s="2">
        <f t="shared" si="13"/>
        <v>19.2</v>
      </c>
      <c r="O7" s="2">
        <f t="shared" si="13"/>
        <v>17.600000000000001</v>
      </c>
      <c r="P7" s="2">
        <f t="shared" si="13"/>
        <v>16</v>
      </c>
      <c r="Q7" s="2">
        <f t="shared" si="13"/>
        <v>14.4</v>
      </c>
      <c r="R7" s="2">
        <f t="shared" si="13"/>
        <v>12.8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6E10-2A67-4BBE-8EC8-3AEA25FF31BF}">
  <dimension ref="A1:R11"/>
  <sheetViews>
    <sheetView workbookViewId="0">
      <selection activeCell="C14" sqref="C14"/>
    </sheetView>
  </sheetViews>
  <sheetFormatPr defaultRowHeight="14.5" x14ac:dyDescent="0.35"/>
  <cols>
    <col min="2" max="2" width="16" customWidth="1"/>
    <col min="3" max="3" width="25.7265625" bestFit="1" customWidth="1"/>
  </cols>
  <sheetData>
    <row r="1" spans="1:18" x14ac:dyDescent="0.35">
      <c r="A1" s="1" t="s">
        <v>1</v>
      </c>
      <c r="B1" s="1" t="s">
        <v>3</v>
      </c>
      <c r="C1" s="1" t="s">
        <v>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2</v>
      </c>
      <c r="B2" s="2" t="s">
        <v>17</v>
      </c>
      <c r="C2" s="2" t="s">
        <v>10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999999</v>
      </c>
      <c r="M2" s="2">
        <v>999999</v>
      </c>
      <c r="N2" s="2">
        <v>999999</v>
      </c>
      <c r="O2" s="2">
        <v>999999</v>
      </c>
      <c r="P2" s="2">
        <v>999999</v>
      </c>
      <c r="Q2" s="2">
        <v>999999</v>
      </c>
      <c r="R2" s="2">
        <v>999999</v>
      </c>
    </row>
    <row r="3" spans="1:18" x14ac:dyDescent="0.35">
      <c r="A3" s="2" t="s">
        <v>2</v>
      </c>
      <c r="B3" s="2" t="s">
        <v>18</v>
      </c>
      <c r="C3" s="2" t="s">
        <v>10</v>
      </c>
      <c r="D3" s="2">
        <v>0</v>
      </c>
      <c r="E3" s="2">
        <v>0</v>
      </c>
      <c r="F3" s="2">
        <v>0</v>
      </c>
      <c r="G3" s="2">
        <v>0</v>
      </c>
      <c r="H3" s="2">
        <v>999999</v>
      </c>
      <c r="I3" s="2">
        <v>999999</v>
      </c>
      <c r="J3" s="2">
        <v>999999</v>
      </c>
      <c r="K3" s="2">
        <v>999999</v>
      </c>
      <c r="L3" s="2">
        <v>999999</v>
      </c>
      <c r="M3" s="2">
        <v>999999</v>
      </c>
      <c r="N3" s="2">
        <v>999999</v>
      </c>
      <c r="O3" s="2">
        <v>999999</v>
      </c>
      <c r="P3" s="2">
        <v>999999</v>
      </c>
      <c r="Q3" s="2">
        <v>999999</v>
      </c>
      <c r="R3" s="2">
        <v>999999</v>
      </c>
    </row>
    <row r="4" spans="1:18" x14ac:dyDescent="0.35">
      <c r="A4" s="2" t="s">
        <v>2</v>
      </c>
      <c r="B4" s="2" t="s">
        <v>19</v>
      </c>
      <c r="C4" s="2" t="s">
        <v>10</v>
      </c>
      <c r="D4" s="2">
        <v>0</v>
      </c>
      <c r="E4" s="2">
        <v>0</v>
      </c>
      <c r="F4" s="2">
        <v>0</v>
      </c>
      <c r="G4" s="2">
        <v>0</v>
      </c>
      <c r="H4" s="2">
        <v>999999</v>
      </c>
      <c r="I4" s="2">
        <v>999999</v>
      </c>
      <c r="J4" s="2">
        <v>999999</v>
      </c>
      <c r="K4" s="2">
        <v>999999</v>
      </c>
      <c r="L4" s="2">
        <v>999999</v>
      </c>
      <c r="M4" s="2">
        <v>999999</v>
      </c>
      <c r="N4" s="2">
        <v>999999</v>
      </c>
      <c r="O4" s="2">
        <v>999999</v>
      </c>
      <c r="P4" s="2">
        <v>999999</v>
      </c>
      <c r="Q4" s="2">
        <v>999999</v>
      </c>
      <c r="R4" s="2">
        <v>999999</v>
      </c>
    </row>
    <row r="5" spans="1:18" x14ac:dyDescent="0.35">
      <c r="A5" s="2" t="s">
        <v>2</v>
      </c>
      <c r="B5" s="2" t="s">
        <v>20</v>
      </c>
      <c r="C5" s="2" t="s">
        <v>10</v>
      </c>
      <c r="D5" s="2">
        <v>0</v>
      </c>
      <c r="E5" s="2">
        <v>0</v>
      </c>
      <c r="F5" s="2">
        <v>0</v>
      </c>
      <c r="G5" s="2">
        <v>0</v>
      </c>
      <c r="H5" s="2">
        <v>999999</v>
      </c>
      <c r="I5" s="2">
        <v>999999</v>
      </c>
      <c r="J5" s="2">
        <v>999999</v>
      </c>
      <c r="K5" s="2">
        <v>999999</v>
      </c>
      <c r="L5" s="2">
        <v>999999</v>
      </c>
      <c r="M5" s="2">
        <v>999999</v>
      </c>
      <c r="N5" s="2">
        <v>999999</v>
      </c>
      <c r="O5" s="2">
        <v>999999</v>
      </c>
      <c r="P5" s="2">
        <v>999999</v>
      </c>
      <c r="Q5" s="2">
        <v>999999</v>
      </c>
      <c r="R5" s="2">
        <v>999999</v>
      </c>
    </row>
    <row r="6" spans="1:18" x14ac:dyDescent="0.35">
      <c r="A6" s="2" t="s">
        <v>2</v>
      </c>
      <c r="B6" s="2" t="s">
        <v>21</v>
      </c>
      <c r="C6" s="2" t="s">
        <v>10</v>
      </c>
      <c r="D6" s="2">
        <v>0</v>
      </c>
      <c r="E6" s="2">
        <v>0</v>
      </c>
      <c r="F6" s="2">
        <v>0</v>
      </c>
      <c r="G6" s="2">
        <v>0</v>
      </c>
      <c r="H6" s="2">
        <v>999999</v>
      </c>
      <c r="I6" s="2">
        <v>999999</v>
      </c>
      <c r="J6" s="2">
        <v>999999</v>
      </c>
      <c r="K6" s="2">
        <v>999999</v>
      </c>
      <c r="L6" s="2">
        <v>999999</v>
      </c>
      <c r="M6" s="2">
        <v>999999</v>
      </c>
      <c r="N6" s="2">
        <v>999999</v>
      </c>
      <c r="O6" s="2">
        <v>999999</v>
      </c>
      <c r="P6" s="2">
        <v>999999</v>
      </c>
      <c r="Q6" s="2">
        <v>999999</v>
      </c>
      <c r="R6" s="2">
        <v>999999</v>
      </c>
    </row>
    <row r="7" spans="1:18" x14ac:dyDescent="0.35">
      <c r="A7" s="2" t="s">
        <v>2</v>
      </c>
      <c r="B7" s="2" t="s">
        <v>22</v>
      </c>
      <c r="C7" s="2" t="s">
        <v>10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999999</v>
      </c>
      <c r="J7" s="2">
        <v>999999</v>
      </c>
      <c r="K7" s="2">
        <v>999999</v>
      </c>
      <c r="L7" s="2">
        <v>999999</v>
      </c>
      <c r="M7" s="2">
        <v>999999</v>
      </c>
      <c r="N7" s="2">
        <v>999999</v>
      </c>
      <c r="O7" s="2">
        <v>999999</v>
      </c>
      <c r="P7" s="2">
        <v>999999</v>
      </c>
      <c r="Q7" s="2">
        <v>999999</v>
      </c>
      <c r="R7" s="2">
        <v>999999</v>
      </c>
    </row>
    <row r="8" spans="1:18" x14ac:dyDescent="0.35">
      <c r="A8" s="2" t="s">
        <v>2</v>
      </c>
      <c r="B8" s="2" t="s">
        <v>23</v>
      </c>
      <c r="C8" s="2" t="s">
        <v>10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999999</v>
      </c>
      <c r="K8" s="2">
        <v>999999</v>
      </c>
      <c r="L8" s="2">
        <v>999999</v>
      </c>
      <c r="M8" s="2">
        <v>999999</v>
      </c>
      <c r="N8" s="2">
        <v>999999</v>
      </c>
      <c r="O8" s="2">
        <v>999999</v>
      </c>
      <c r="P8" s="2">
        <v>999999</v>
      </c>
      <c r="Q8" s="2">
        <v>999999</v>
      </c>
      <c r="R8" s="2">
        <v>999999</v>
      </c>
    </row>
    <row r="9" spans="1:18" x14ac:dyDescent="0.35">
      <c r="A9" s="2" t="s">
        <v>2</v>
      </c>
      <c r="B9" s="2" t="s">
        <v>24</v>
      </c>
      <c r="C9" s="2" t="s">
        <v>10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999999</v>
      </c>
      <c r="K9" s="2">
        <v>999999</v>
      </c>
      <c r="L9" s="2">
        <v>999999</v>
      </c>
      <c r="M9" s="2">
        <v>999999</v>
      </c>
      <c r="N9" s="2">
        <v>999999</v>
      </c>
      <c r="O9" s="2">
        <v>999999</v>
      </c>
      <c r="P9" s="2">
        <v>999999</v>
      </c>
      <c r="Q9" s="2">
        <v>999999</v>
      </c>
      <c r="R9" s="2">
        <v>999999</v>
      </c>
    </row>
    <row r="10" spans="1:18" x14ac:dyDescent="0.35">
      <c r="A10" s="2" t="s">
        <v>2</v>
      </c>
      <c r="B10" s="2" t="s">
        <v>9</v>
      </c>
      <c r="C10" s="2" t="s">
        <v>7</v>
      </c>
      <c r="D10" s="2">
        <v>0</v>
      </c>
      <c r="E10" s="2">
        <v>0</v>
      </c>
      <c r="F10" s="2">
        <v>0</v>
      </c>
      <c r="G10" s="2">
        <v>999999</v>
      </c>
      <c r="H10" s="2">
        <v>999999</v>
      </c>
      <c r="I10" s="2">
        <v>999999</v>
      </c>
      <c r="J10" s="2">
        <v>999999</v>
      </c>
      <c r="K10" s="2">
        <v>999999</v>
      </c>
      <c r="L10" s="2">
        <v>999999</v>
      </c>
      <c r="M10" s="2">
        <v>999999</v>
      </c>
      <c r="N10" s="2">
        <v>999999</v>
      </c>
      <c r="O10" s="2">
        <v>999999</v>
      </c>
      <c r="P10" s="2">
        <v>999999</v>
      </c>
      <c r="Q10" s="2">
        <v>999999</v>
      </c>
      <c r="R10" s="2">
        <v>999999</v>
      </c>
    </row>
    <row r="11" spans="1:18" x14ac:dyDescent="0.35">
      <c r="A11" s="2" t="s">
        <v>2</v>
      </c>
      <c r="B11" s="2" t="s">
        <v>25</v>
      </c>
      <c r="C11" s="2" t="s">
        <v>7</v>
      </c>
      <c r="D11" s="2">
        <v>0</v>
      </c>
      <c r="E11" s="2">
        <v>0</v>
      </c>
      <c r="F11" s="2">
        <v>0</v>
      </c>
      <c r="G11" s="2">
        <v>999999</v>
      </c>
      <c r="H11" s="2">
        <v>999999</v>
      </c>
      <c r="I11" s="2">
        <v>999999</v>
      </c>
      <c r="J11" s="2">
        <v>999999</v>
      </c>
      <c r="K11" s="2">
        <v>999999</v>
      </c>
      <c r="L11" s="2">
        <v>999999</v>
      </c>
      <c r="M11" s="2">
        <v>999999</v>
      </c>
      <c r="N11" s="2">
        <v>999999</v>
      </c>
      <c r="O11" s="2">
        <v>999999</v>
      </c>
      <c r="P11" s="2">
        <v>999999</v>
      </c>
      <c r="Q11" s="2">
        <v>999999</v>
      </c>
      <c r="R11" s="2">
        <v>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2B9E-8E52-497C-B556-C294ED53D361}">
  <dimension ref="A1:S2"/>
  <sheetViews>
    <sheetView topLeftCell="B1" workbookViewId="0">
      <selection activeCell="J3" sqref="J3"/>
    </sheetView>
  </sheetViews>
  <sheetFormatPr defaultRowHeight="14.5" x14ac:dyDescent="0.35"/>
  <cols>
    <col min="2" max="2" width="14" bestFit="1" customWidth="1"/>
    <col min="4" max="4" width="10.7265625" bestFit="1" customWidth="1"/>
  </cols>
  <sheetData>
    <row r="1" spans="1:19" x14ac:dyDescent="0.35">
      <c r="A1" s="1" t="s">
        <v>1</v>
      </c>
      <c r="B1" s="1" t="s">
        <v>3</v>
      </c>
      <c r="C1" s="1" t="s">
        <v>4</v>
      </c>
      <c r="D1" s="1" t="s">
        <v>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</row>
    <row r="2" spans="1:19" x14ac:dyDescent="0.35">
      <c r="A2" s="2" t="s">
        <v>2</v>
      </c>
      <c r="B2" s="2" t="s">
        <v>24</v>
      </c>
      <c r="C2" s="2">
        <v>1</v>
      </c>
      <c r="D2" s="2" t="s">
        <v>26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0.05</v>
      </c>
      <c r="K2" s="2">
        <v>0.05</v>
      </c>
      <c r="L2" s="2">
        <v>0.05</v>
      </c>
      <c r="M2" s="2">
        <v>0.05</v>
      </c>
      <c r="N2" s="2">
        <v>0.05</v>
      </c>
      <c r="O2" s="2">
        <v>0.05</v>
      </c>
      <c r="P2" s="2">
        <v>0.05</v>
      </c>
      <c r="Q2" s="2">
        <v>0.05</v>
      </c>
      <c r="R2" s="2">
        <v>0.05</v>
      </c>
      <c r="S2" s="2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</vt:lpstr>
      <vt:lpstr>ResCapacity</vt:lpstr>
      <vt:lpstr>TTAnnualActLowerLim</vt:lpstr>
      <vt:lpstr>TAnnualMaxCapInv</vt:lpstr>
      <vt:lpstr>TActIncBMLimit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marcela moreno hinestroza</dc:creator>
  <cp:lastModifiedBy>luisa marcela moreno hinestroza</cp:lastModifiedBy>
  <dcterms:created xsi:type="dcterms:W3CDTF">2024-12-16T01:24:14Z</dcterms:created>
  <dcterms:modified xsi:type="dcterms:W3CDTF">2025-01-16T20:48:15Z</dcterms:modified>
</cp:coreProperties>
</file>